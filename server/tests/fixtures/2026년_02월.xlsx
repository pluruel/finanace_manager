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이현주\OneDrive\Sharing\가계부\2026년\"/>
    </mc:Choice>
  </mc:AlternateContent>
  <xr:revisionPtr revIDLastSave="0" documentId="13_ncr:1_{A5125279-0D9E-4ED2-B2A5-5A30380237E7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2월(집계)" sheetId="1" r:id="rId1"/>
    <sheet name="2월" sheetId="2" r:id="rId2"/>
  </sheets>
  <definedNames>
    <definedName name="_xlnm._FilterDatabase" localSheetId="1" hidden="1">'2월'!$A$1:$K$284</definedName>
    <definedName name="btnShowItemComment" localSheetId="1">'2월'!#REF!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0" i="2" l="1"/>
  <c r="I160" i="2" s="1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1" i="2"/>
  <c r="E11" i="2" s="1"/>
  <c r="E127" i="2" l="1"/>
  <c r="I90" i="2"/>
  <c r="I91" i="2"/>
  <c r="I92" i="2"/>
  <c r="I93" i="2"/>
  <c r="I94" i="2"/>
  <c r="I72" i="2"/>
  <c r="I73" i="2"/>
  <c r="I74" i="2"/>
  <c r="I181" i="2"/>
  <c r="E181" i="2" s="1"/>
  <c r="G148" i="2"/>
  <c r="I148" i="2" s="1"/>
  <c r="G9" i="2"/>
  <c r="I9" i="2" s="1"/>
  <c r="I18" i="2"/>
  <c r="G5" i="2"/>
  <c r="I5" i="2" s="1"/>
  <c r="E5" i="2" s="1"/>
  <c r="I4" i="2"/>
  <c r="E4" i="2" s="1"/>
  <c r="I49" i="2"/>
  <c r="E49" i="2" s="1"/>
  <c r="I82" i="2" l="1"/>
  <c r="E82" i="2" s="1"/>
  <c r="I112" i="2"/>
  <c r="E112" i="2" s="1"/>
  <c r="I173" i="2"/>
  <c r="E173" i="2" s="1"/>
  <c r="I164" i="2" l="1"/>
  <c r="E164" i="2" s="1"/>
  <c r="G83" i="2" l="1"/>
  <c r="I6" i="2" l="1"/>
  <c r="I7" i="2"/>
  <c r="E7" i="2" s="1"/>
  <c r="I8" i="2"/>
  <c r="E8" i="2" s="1"/>
  <c r="I10" i="2"/>
  <c r="E10" i="2" s="1"/>
  <c r="I12" i="2"/>
  <c r="E12" i="2" s="1"/>
  <c r="I13" i="2"/>
  <c r="E13" i="2" s="1"/>
  <c r="I14" i="2"/>
  <c r="E14" i="2" s="1"/>
  <c r="I15" i="2"/>
  <c r="E15" i="2" s="1"/>
  <c r="I16" i="2"/>
  <c r="E16" i="2" s="1"/>
  <c r="I17" i="2"/>
  <c r="E17" i="2" s="1"/>
  <c r="I19" i="2"/>
  <c r="E19" i="2" s="1"/>
  <c r="I20" i="2"/>
  <c r="E20" i="2" s="1"/>
  <c r="I21" i="2"/>
  <c r="I22" i="2"/>
  <c r="E22" i="2" s="1"/>
  <c r="I23" i="2"/>
  <c r="E23" i="2" s="1"/>
  <c r="I24" i="2"/>
  <c r="E24" i="2" s="1"/>
  <c r="I25" i="2"/>
  <c r="I26" i="2"/>
  <c r="E26" i="2" s="1"/>
  <c r="I27" i="2"/>
  <c r="E27" i="2" s="1"/>
  <c r="I28" i="2"/>
  <c r="E28" i="2" s="1"/>
  <c r="I29" i="2"/>
  <c r="E29" i="2" s="1"/>
  <c r="I30" i="2"/>
  <c r="E30" i="2" s="1"/>
  <c r="I31" i="2"/>
  <c r="E31" i="2" s="1"/>
  <c r="I32" i="2"/>
  <c r="E32" i="2" s="1"/>
  <c r="I33" i="2"/>
  <c r="E33" i="2" s="1"/>
  <c r="I34" i="2"/>
  <c r="E34" i="2" s="1"/>
  <c r="I35" i="2"/>
  <c r="E35" i="2" s="1"/>
  <c r="I36" i="2"/>
  <c r="E36" i="2" s="1"/>
  <c r="I37" i="2"/>
  <c r="E37" i="2" s="1"/>
  <c r="I38" i="2"/>
  <c r="E38" i="2" s="1"/>
  <c r="I39" i="2"/>
  <c r="E39" i="2" s="1"/>
  <c r="I40" i="2"/>
  <c r="E40" i="2" s="1"/>
  <c r="I41" i="2"/>
  <c r="E41" i="2" s="1"/>
  <c r="I42" i="2"/>
  <c r="E42" i="2" s="1"/>
  <c r="I43" i="2"/>
  <c r="E43" i="2" s="1"/>
  <c r="I44" i="2"/>
  <c r="E44" i="2" s="1"/>
  <c r="I45" i="2"/>
  <c r="E45" i="2" s="1"/>
  <c r="I46" i="2"/>
  <c r="E46" i="2" s="1"/>
  <c r="I47" i="2"/>
  <c r="E47" i="2" s="1"/>
  <c r="I48" i="2"/>
  <c r="E48" i="2" s="1"/>
  <c r="I50" i="2"/>
  <c r="E50" i="2" s="1"/>
  <c r="I51" i="2"/>
  <c r="E51" i="2" s="1"/>
  <c r="I52" i="2"/>
  <c r="E52" i="2" s="1"/>
  <c r="I53" i="2"/>
  <c r="E53" i="2" s="1"/>
  <c r="I54" i="2"/>
  <c r="I55" i="2"/>
  <c r="I56" i="2"/>
  <c r="I57" i="2"/>
  <c r="I58" i="2"/>
  <c r="I59" i="2"/>
  <c r="E59" i="2" s="1"/>
  <c r="I60" i="2"/>
  <c r="E60" i="2" s="1"/>
  <c r="I61" i="2"/>
  <c r="E61" i="2" s="1"/>
  <c r="I62" i="2"/>
  <c r="E62" i="2" s="1"/>
  <c r="I63" i="2"/>
  <c r="E63" i="2" s="1"/>
  <c r="I64" i="2"/>
  <c r="E64" i="2" s="1"/>
  <c r="I65" i="2"/>
  <c r="E65" i="2" s="1"/>
  <c r="I66" i="2"/>
  <c r="E66" i="2" s="1"/>
  <c r="I67" i="2"/>
  <c r="E67" i="2" s="1"/>
  <c r="I68" i="2"/>
  <c r="E68" i="2" s="1"/>
  <c r="I69" i="2"/>
  <c r="E69" i="2" s="1"/>
  <c r="I70" i="2"/>
  <c r="E70" i="2" s="1"/>
  <c r="I71" i="2"/>
  <c r="E71" i="2" s="1"/>
  <c r="I75" i="2"/>
  <c r="E75" i="2" s="1"/>
  <c r="I76" i="2"/>
  <c r="E76" i="2" s="1"/>
  <c r="I77" i="2"/>
  <c r="E77" i="2" s="1"/>
  <c r="I78" i="2"/>
  <c r="E78" i="2" s="1"/>
  <c r="I79" i="2"/>
  <c r="E79" i="2" s="1"/>
  <c r="I80" i="2"/>
  <c r="E80" i="2" s="1"/>
  <c r="I81" i="2"/>
  <c r="E81" i="2" s="1"/>
  <c r="I83" i="2"/>
  <c r="E83" i="2" s="1"/>
  <c r="I84" i="2"/>
  <c r="E84" i="2" s="1"/>
  <c r="I85" i="2"/>
  <c r="E85" i="2" s="1"/>
  <c r="I86" i="2"/>
  <c r="E86" i="2" s="1"/>
  <c r="I87" i="2"/>
  <c r="E87" i="2" s="1"/>
  <c r="I88" i="2"/>
  <c r="E88" i="2" s="1"/>
  <c r="I89" i="2"/>
  <c r="E89" i="2" s="1"/>
  <c r="I95" i="2"/>
  <c r="E95" i="2" s="1"/>
  <c r="I96" i="2"/>
  <c r="E96" i="2" s="1"/>
  <c r="I97" i="2"/>
  <c r="E97" i="2" s="1"/>
  <c r="I98" i="2"/>
  <c r="E98" i="2" s="1"/>
  <c r="I99" i="2"/>
  <c r="E99" i="2" s="1"/>
  <c r="I100" i="2"/>
  <c r="E100" i="2" s="1"/>
  <c r="I101" i="2"/>
  <c r="E101" i="2" s="1"/>
  <c r="I102" i="2"/>
  <c r="E102" i="2" s="1"/>
  <c r="I103" i="2"/>
  <c r="E103" i="2" s="1"/>
  <c r="I104" i="2"/>
  <c r="E104" i="2" s="1"/>
  <c r="I105" i="2"/>
  <c r="E105" i="2" s="1"/>
  <c r="I106" i="2"/>
  <c r="E106" i="2" s="1"/>
  <c r="I107" i="2"/>
  <c r="E107" i="2" s="1"/>
  <c r="I108" i="2"/>
  <c r="E108" i="2" s="1"/>
  <c r="I109" i="2"/>
  <c r="E109" i="2" s="1"/>
  <c r="I110" i="2"/>
  <c r="E110" i="2" s="1"/>
  <c r="I111" i="2"/>
  <c r="E111" i="2" s="1"/>
  <c r="I113" i="2"/>
  <c r="E113" i="2" s="1"/>
  <c r="I114" i="2"/>
  <c r="E114" i="2" s="1"/>
  <c r="I115" i="2"/>
  <c r="E115" i="2" s="1"/>
  <c r="I116" i="2"/>
  <c r="I117" i="2"/>
  <c r="I118" i="2"/>
  <c r="E118" i="2" s="1"/>
  <c r="I119" i="2"/>
  <c r="E119" i="2" s="1"/>
  <c r="I120" i="2"/>
  <c r="I121" i="2"/>
  <c r="E121" i="2" s="1"/>
  <c r="I122" i="2"/>
  <c r="E122" i="2" s="1"/>
  <c r="I123" i="2"/>
  <c r="E123" i="2" s="1"/>
  <c r="I124" i="2"/>
  <c r="E124" i="2" s="1"/>
  <c r="I125" i="2"/>
  <c r="E125" i="2" s="1"/>
  <c r="I126" i="2"/>
  <c r="E126" i="2" s="1"/>
  <c r="I144" i="2"/>
  <c r="E144" i="2" s="1"/>
  <c r="I145" i="2"/>
  <c r="E145" i="2" s="1"/>
  <c r="I146" i="2"/>
  <c r="E146" i="2" s="1"/>
  <c r="I147" i="2"/>
  <c r="E147" i="2" s="1"/>
  <c r="I149" i="2"/>
  <c r="E149" i="2" s="1"/>
  <c r="I150" i="2"/>
  <c r="E150" i="2" s="1"/>
  <c r="I151" i="2"/>
  <c r="E151" i="2" s="1"/>
  <c r="I152" i="2"/>
  <c r="E152" i="2" s="1"/>
  <c r="I153" i="2"/>
  <c r="E153" i="2" s="1"/>
  <c r="I154" i="2"/>
  <c r="E154" i="2" s="1"/>
  <c r="I155" i="2"/>
  <c r="E155" i="2" s="1"/>
  <c r="I156" i="2"/>
  <c r="E156" i="2" s="1"/>
  <c r="I157" i="2"/>
  <c r="E157" i="2" s="1"/>
  <c r="I158" i="2"/>
  <c r="E158" i="2" s="1"/>
  <c r="I159" i="2"/>
  <c r="E159" i="2" s="1"/>
  <c r="I161" i="2"/>
  <c r="E161" i="2" s="1"/>
  <c r="I162" i="2"/>
  <c r="E162" i="2" s="1"/>
  <c r="I163" i="2"/>
  <c r="E163" i="2" s="1"/>
  <c r="I165" i="2"/>
  <c r="E165" i="2" s="1"/>
  <c r="I166" i="2"/>
  <c r="E166" i="2" s="1"/>
  <c r="I167" i="2"/>
  <c r="E167" i="2" s="1"/>
  <c r="I168" i="2"/>
  <c r="E168" i="2" s="1"/>
  <c r="I169" i="2"/>
  <c r="E169" i="2" s="1"/>
  <c r="I170" i="2"/>
  <c r="E170" i="2" s="1"/>
  <c r="I171" i="2"/>
  <c r="E171" i="2" s="1"/>
  <c r="I172" i="2"/>
  <c r="E172" i="2" s="1"/>
  <c r="I174" i="2"/>
  <c r="E174" i="2" s="1"/>
  <c r="I175" i="2"/>
  <c r="E175" i="2" s="1"/>
  <c r="I176" i="2"/>
  <c r="I177" i="2"/>
  <c r="E177" i="2" s="1"/>
  <c r="I178" i="2"/>
  <c r="E178" i="2" s="1"/>
  <c r="I179" i="2"/>
  <c r="E179" i="2" s="1"/>
  <c r="I180" i="2"/>
  <c r="E180" i="2" s="1"/>
  <c r="I182" i="2"/>
  <c r="E182" i="2" s="1"/>
  <c r="I183" i="2"/>
  <c r="E183" i="2" s="1"/>
  <c r="I184" i="2"/>
  <c r="E184" i="2" s="1"/>
  <c r="I185" i="2"/>
  <c r="E185" i="2" s="1"/>
  <c r="I186" i="2"/>
  <c r="E186" i="2" s="1"/>
  <c r="I187" i="2"/>
  <c r="E187" i="2" s="1"/>
  <c r="I188" i="2"/>
  <c r="E188" i="2" s="1"/>
  <c r="I189" i="2"/>
  <c r="E189" i="2" s="1"/>
  <c r="I190" i="2"/>
  <c r="E190" i="2" s="1"/>
  <c r="I191" i="2"/>
  <c r="E191" i="2" s="1"/>
  <c r="I192" i="2"/>
  <c r="E192" i="2" s="1"/>
  <c r="I193" i="2"/>
  <c r="E193" i="2" s="1"/>
  <c r="I194" i="2"/>
  <c r="E194" i="2" s="1"/>
  <c r="I195" i="2"/>
  <c r="E195" i="2" s="1"/>
  <c r="I196" i="2"/>
  <c r="E196" i="2" s="1"/>
  <c r="I197" i="2"/>
  <c r="E197" i="2" s="1"/>
  <c r="I198" i="2"/>
  <c r="E198" i="2" s="1"/>
  <c r="I199" i="2"/>
  <c r="E199" i="2" s="1"/>
  <c r="I200" i="2"/>
  <c r="E200" i="2" s="1"/>
  <c r="I201" i="2"/>
  <c r="E201" i="2" s="1"/>
  <c r="I202" i="2"/>
  <c r="E202" i="2" s="1"/>
  <c r="I203" i="2"/>
  <c r="E203" i="2" s="1"/>
  <c r="I204" i="2"/>
  <c r="E204" i="2" s="1"/>
  <c r="I205" i="2"/>
  <c r="E205" i="2" s="1"/>
  <c r="I206" i="2"/>
  <c r="E206" i="2" s="1"/>
  <c r="I207" i="2"/>
  <c r="E207" i="2" s="1"/>
  <c r="I208" i="2"/>
  <c r="E208" i="2" s="1"/>
  <c r="I209" i="2"/>
  <c r="E209" i="2" s="1"/>
  <c r="I210" i="2"/>
  <c r="E210" i="2" s="1"/>
  <c r="I211" i="2"/>
  <c r="E211" i="2" s="1"/>
  <c r="I212" i="2"/>
  <c r="E212" i="2" s="1"/>
  <c r="I213" i="2"/>
  <c r="E213" i="2" s="1"/>
  <c r="I214" i="2"/>
  <c r="E214" i="2" s="1"/>
  <c r="I215" i="2"/>
  <c r="E215" i="2" s="1"/>
  <c r="I216" i="2"/>
  <c r="E216" i="2" s="1"/>
  <c r="I217" i="2"/>
  <c r="E217" i="2" s="1"/>
  <c r="I218" i="2"/>
  <c r="E218" i="2" s="1"/>
  <c r="I219" i="2"/>
  <c r="E219" i="2" s="1"/>
  <c r="I220" i="2"/>
  <c r="E220" i="2" s="1"/>
  <c r="I221" i="2"/>
  <c r="E221" i="2" s="1"/>
  <c r="I222" i="2"/>
  <c r="E222" i="2" s="1"/>
  <c r="I223" i="2"/>
  <c r="E223" i="2" s="1"/>
  <c r="I224" i="2"/>
  <c r="E224" i="2" s="1"/>
  <c r="I225" i="2"/>
  <c r="E225" i="2" s="1"/>
  <c r="I226" i="2"/>
  <c r="E226" i="2" s="1"/>
  <c r="I227" i="2"/>
  <c r="E227" i="2" s="1"/>
  <c r="I228" i="2"/>
  <c r="E228" i="2" s="1"/>
  <c r="I229" i="2"/>
  <c r="E229" i="2" s="1"/>
  <c r="I230" i="2"/>
  <c r="E230" i="2" s="1"/>
  <c r="I231" i="2"/>
  <c r="E231" i="2" s="1"/>
  <c r="I232" i="2"/>
  <c r="E232" i="2" s="1"/>
  <c r="I233" i="2"/>
  <c r="E233" i="2" s="1"/>
  <c r="I234" i="2"/>
  <c r="E234" i="2" s="1"/>
  <c r="I235" i="2"/>
  <c r="E235" i="2" s="1"/>
  <c r="I236" i="2"/>
  <c r="E236" i="2" s="1"/>
  <c r="I237" i="2"/>
  <c r="E237" i="2" s="1"/>
  <c r="I238" i="2"/>
  <c r="E238" i="2" s="1"/>
  <c r="I239" i="2"/>
  <c r="E239" i="2" s="1"/>
  <c r="I240" i="2"/>
  <c r="E240" i="2" s="1"/>
  <c r="I241" i="2"/>
  <c r="E241" i="2" s="1"/>
  <c r="I242" i="2"/>
  <c r="E242" i="2" s="1"/>
  <c r="I243" i="2"/>
  <c r="E243" i="2" s="1"/>
  <c r="I244" i="2"/>
  <c r="E244" i="2" s="1"/>
  <c r="I245" i="2"/>
  <c r="E245" i="2" s="1"/>
  <c r="I246" i="2"/>
  <c r="E246" i="2" s="1"/>
  <c r="I247" i="2"/>
  <c r="E247" i="2" s="1"/>
  <c r="I248" i="2"/>
  <c r="E248" i="2" s="1"/>
  <c r="I249" i="2"/>
  <c r="E249" i="2" s="1"/>
  <c r="I250" i="2"/>
  <c r="E250" i="2" s="1"/>
  <c r="I251" i="2"/>
  <c r="E251" i="2" s="1"/>
  <c r="I252" i="2"/>
  <c r="E252" i="2" s="1"/>
  <c r="I253" i="2"/>
  <c r="E253" i="2" s="1"/>
  <c r="I254" i="2"/>
  <c r="E254" i="2" s="1"/>
  <c r="I255" i="2"/>
  <c r="E255" i="2" s="1"/>
  <c r="I256" i="2"/>
  <c r="E256" i="2" s="1"/>
  <c r="I257" i="2"/>
  <c r="E257" i="2" s="1"/>
  <c r="I258" i="2"/>
  <c r="E258" i="2" s="1"/>
  <c r="I259" i="2"/>
  <c r="E259" i="2" s="1"/>
  <c r="I260" i="2"/>
  <c r="E260" i="2" s="1"/>
  <c r="I261" i="2"/>
  <c r="E261" i="2" s="1"/>
  <c r="I262" i="2"/>
  <c r="E262" i="2" s="1"/>
  <c r="I263" i="2"/>
  <c r="E263" i="2" s="1"/>
  <c r="I264" i="2"/>
  <c r="E264" i="2" s="1"/>
  <c r="I265" i="2"/>
  <c r="E265" i="2" s="1"/>
  <c r="I266" i="2"/>
  <c r="E266" i="2" s="1"/>
  <c r="I267" i="2"/>
  <c r="E267" i="2" s="1"/>
  <c r="I268" i="2"/>
  <c r="E268" i="2" s="1"/>
  <c r="I269" i="2"/>
  <c r="E269" i="2" s="1"/>
  <c r="I270" i="2"/>
  <c r="I271" i="2"/>
  <c r="I272" i="2"/>
  <c r="I273" i="2"/>
  <c r="I274" i="2"/>
  <c r="I275" i="2"/>
  <c r="I276" i="2"/>
  <c r="I277" i="2"/>
  <c r="I278" i="2"/>
  <c r="E6" i="2"/>
  <c r="E21" i="2"/>
  <c r="E25" i="2"/>
  <c r="E116" i="2"/>
  <c r="E117" i="2"/>
  <c r="E120" i="2"/>
  <c r="E176" i="2"/>
  <c r="K118" i="1" l="1"/>
  <c r="E270" i="2" l="1"/>
  <c r="E271" i="2"/>
  <c r="E272" i="2"/>
  <c r="E273" i="2"/>
  <c r="E274" i="2"/>
  <c r="E275" i="2"/>
  <c r="E276" i="2"/>
  <c r="E277" i="2"/>
  <c r="E278" i="2"/>
  <c r="I279" i="2"/>
  <c r="I280" i="2"/>
  <c r="E285" i="2" l="1"/>
  <c r="E286" i="2"/>
  <c r="I282" i="2"/>
  <c r="E282" i="2" s="1"/>
  <c r="E279" i="2" l="1"/>
  <c r="E280" i="2"/>
  <c r="I281" i="2"/>
  <c r="E281" i="2" s="1"/>
  <c r="I283" i="2"/>
  <c r="E283" i="2" s="1"/>
  <c r="I284" i="2"/>
  <c r="E284" i="2" s="1"/>
  <c r="I3" i="2"/>
  <c r="E3" i="2" s="1"/>
  <c r="K103" i="1" l="1"/>
  <c r="L103" i="1" s="1"/>
  <c r="F14" i="1" l="1"/>
  <c r="G51" i="1"/>
  <c r="H108" i="1"/>
  <c r="H106" i="1"/>
  <c r="H99" i="1"/>
  <c r="G99" i="1"/>
  <c r="F99" i="1"/>
  <c r="H98" i="1"/>
  <c r="G98" i="1"/>
  <c r="F98" i="1"/>
  <c r="H97" i="1"/>
  <c r="G97" i="1"/>
  <c r="F97" i="1"/>
  <c r="H96" i="1"/>
  <c r="F96" i="1"/>
  <c r="F95" i="1"/>
  <c r="H93" i="1"/>
  <c r="G93" i="1"/>
  <c r="F93" i="1"/>
  <c r="H92" i="1"/>
  <c r="G92" i="1"/>
  <c r="F92" i="1"/>
  <c r="H91" i="1"/>
  <c r="G91" i="1"/>
  <c r="G90" i="1"/>
  <c r="F90" i="1"/>
  <c r="H89" i="1"/>
  <c r="G89" i="1"/>
  <c r="F89" i="1"/>
  <c r="H87" i="1"/>
  <c r="G87" i="1"/>
  <c r="F87" i="1"/>
  <c r="H86" i="1"/>
  <c r="F86" i="1"/>
  <c r="H85" i="1"/>
  <c r="G85" i="1"/>
  <c r="F85" i="1"/>
  <c r="H84" i="1"/>
  <c r="G84" i="1"/>
  <c r="F84" i="1"/>
  <c r="G83" i="1"/>
  <c r="F83" i="1"/>
  <c r="F82" i="1"/>
  <c r="G77" i="1"/>
  <c r="F77" i="1"/>
  <c r="H76" i="1"/>
  <c r="G76" i="1"/>
  <c r="F76" i="1"/>
  <c r="H75" i="1"/>
  <c r="G75" i="1"/>
  <c r="F75" i="1"/>
  <c r="H74" i="1"/>
  <c r="G74" i="1"/>
  <c r="F74" i="1"/>
  <c r="G73" i="1"/>
  <c r="H72" i="1"/>
  <c r="G72" i="1"/>
  <c r="F72" i="1"/>
  <c r="G68" i="1"/>
  <c r="F67" i="1"/>
  <c r="H66" i="1"/>
  <c r="G66" i="1"/>
  <c r="F66" i="1"/>
  <c r="H65" i="1"/>
  <c r="G65" i="1"/>
  <c r="H62" i="1"/>
  <c r="F62" i="1"/>
  <c r="H61" i="1"/>
  <c r="G61" i="1"/>
  <c r="F61" i="1"/>
  <c r="G60" i="1"/>
  <c r="F60" i="1"/>
  <c r="H59" i="1"/>
  <c r="G59" i="1"/>
  <c r="H58" i="1"/>
  <c r="G58" i="1"/>
  <c r="H55" i="1"/>
  <c r="G55" i="1"/>
  <c r="F55" i="1"/>
  <c r="H54" i="1"/>
  <c r="G54" i="1"/>
  <c r="H53" i="1"/>
  <c r="G53" i="1"/>
  <c r="G49" i="1"/>
  <c r="G48" i="1"/>
  <c r="H43" i="1"/>
  <c r="G43" i="1"/>
  <c r="F43" i="1"/>
  <c r="H41" i="1"/>
  <c r="G41" i="1"/>
  <c r="F41" i="1"/>
  <c r="H39" i="1"/>
  <c r="G39" i="1"/>
  <c r="F39" i="1"/>
  <c r="H37" i="1"/>
  <c r="G37" i="1"/>
  <c r="F37" i="1"/>
  <c r="G36" i="1"/>
  <c r="F36" i="1"/>
  <c r="H35" i="1"/>
  <c r="H33" i="1"/>
  <c r="G33" i="1"/>
  <c r="F33" i="1"/>
  <c r="H32" i="1"/>
  <c r="G32" i="1"/>
  <c r="H31" i="1"/>
  <c r="F31" i="1"/>
  <c r="G28" i="1"/>
  <c r="F28" i="1"/>
  <c r="H27" i="1"/>
  <c r="G27" i="1"/>
  <c r="F27" i="1"/>
  <c r="G26" i="1"/>
  <c r="F26" i="1"/>
  <c r="H25" i="1"/>
  <c r="G25" i="1"/>
  <c r="F25" i="1"/>
  <c r="H24" i="1"/>
  <c r="G24" i="1"/>
  <c r="F24" i="1"/>
  <c r="H21" i="1"/>
  <c r="G21" i="1"/>
  <c r="F21" i="1"/>
  <c r="H20" i="1"/>
  <c r="G20" i="1"/>
  <c r="F20" i="1"/>
  <c r="H18" i="1"/>
  <c r="G18" i="1"/>
  <c r="F18" i="1"/>
  <c r="H17" i="1"/>
  <c r="G17" i="1"/>
  <c r="F17" i="1"/>
  <c r="H16" i="1"/>
  <c r="G16" i="1"/>
  <c r="H15" i="1"/>
  <c r="G15" i="1"/>
  <c r="H14" i="1"/>
  <c r="G14" i="1"/>
  <c r="H13" i="1"/>
  <c r="G13" i="1"/>
  <c r="H11" i="1"/>
  <c r="G11" i="1"/>
  <c r="H7" i="1"/>
  <c r="G7" i="1"/>
  <c r="F7" i="1"/>
  <c r="F6" i="1"/>
  <c r="G5" i="1"/>
  <c r="F3" i="1"/>
  <c r="H118" i="1" l="1"/>
  <c r="G31" i="1"/>
  <c r="G95" i="1"/>
  <c r="H36" i="1"/>
  <c r="K106" i="1"/>
  <c r="H68" i="1"/>
  <c r="F13" i="1"/>
  <c r="H110" i="1"/>
  <c r="H109" i="1"/>
  <c r="F32" i="1"/>
  <c r="G35" i="1"/>
  <c r="G82" i="1"/>
  <c r="H105" i="1"/>
  <c r="G3" i="1"/>
  <c r="F5" i="1"/>
  <c r="H5" i="1" l="1"/>
  <c r="K105" i="1"/>
  <c r="H60" i="1"/>
  <c r="F65" i="1"/>
  <c r="F11" i="1"/>
  <c r="H51" i="1"/>
  <c r="H107" i="1"/>
  <c r="K108" i="1"/>
  <c r="H90" i="1"/>
  <c r="G86" i="1"/>
  <c r="H83" i="1"/>
  <c r="H82" i="1"/>
  <c r="H48" i="1"/>
  <c r="G67" i="1"/>
  <c r="F45" i="1"/>
  <c r="G47" i="1"/>
  <c r="H28" i="1"/>
  <c r="G96" i="1"/>
  <c r="H6" i="1"/>
  <c r="G6" i="1"/>
  <c r="H95" i="1"/>
  <c r="H50" i="1"/>
  <c r="H3" i="1"/>
  <c r="K110" i="1"/>
  <c r="H46" i="1"/>
  <c r="F49" i="1"/>
  <c r="G45" i="1"/>
  <c r="F47" i="1"/>
  <c r="F50" i="1"/>
  <c r="G52" i="1"/>
  <c r="H49" i="1"/>
  <c r="F59" i="1"/>
  <c r="H77" i="1"/>
  <c r="K109" i="1"/>
  <c r="H45" i="1"/>
  <c r="F73" i="1"/>
  <c r="F15" i="1"/>
  <c r="F54" i="1"/>
  <c r="F52" i="1"/>
  <c r="F48" i="1"/>
  <c r="F68" i="1"/>
  <c r="H52" i="1"/>
  <c r="H73" i="1"/>
  <c r="H47" i="1"/>
  <c r="H67" i="1"/>
  <c r="F46" i="1"/>
  <c r="F53" i="1"/>
  <c r="H26" i="1"/>
  <c r="F35" i="1"/>
  <c r="K104" i="1"/>
  <c r="F16" i="1"/>
  <c r="G46" i="1"/>
  <c r="G62" i="1"/>
  <c r="F58" i="1"/>
  <c r="F91" i="1"/>
  <c r="K107" i="1"/>
  <c r="F51" i="1"/>
  <c r="G50" i="1"/>
  <c r="L112" i="1" l="1"/>
  <c r="L113" i="1"/>
  <c r="L115" i="1"/>
  <c r="E98" i="1" l="1"/>
  <c r="H111" i="1" l="1"/>
  <c r="L106" i="1" l="1"/>
  <c r="M1" i="2" l="1"/>
  <c r="F4" i="1"/>
  <c r="F9" i="1" s="1"/>
  <c r="F88" i="1"/>
  <c r="G4" i="1"/>
  <c r="G9" i="1" s="1"/>
  <c r="H114" i="1" s="1"/>
  <c r="H116" i="1" s="1"/>
  <c r="H119" i="1" s="1"/>
  <c r="H4" i="1"/>
  <c r="G88" i="1"/>
  <c r="H88" i="1"/>
  <c r="L105" i="1"/>
  <c r="G44" i="1"/>
  <c r="H94" i="1"/>
  <c r="F94" i="1"/>
  <c r="G94" i="1"/>
  <c r="L104" i="1"/>
  <c r="E60" i="1"/>
  <c r="E3" i="1"/>
  <c r="L110" i="1"/>
  <c r="L108" i="1"/>
  <c r="E6" i="1"/>
  <c r="L107" i="1"/>
  <c r="L109" i="1"/>
  <c r="E86" i="1"/>
  <c r="E96" i="1"/>
  <c r="F81" i="1"/>
  <c r="E75" i="1"/>
  <c r="E91" i="1"/>
  <c r="E85" i="1"/>
  <c r="E95" i="1"/>
  <c r="E68" i="1"/>
  <c r="E76" i="1"/>
  <c r="E89" i="1"/>
  <c r="E92" i="1"/>
  <c r="H64" i="1"/>
  <c r="E67" i="1"/>
  <c r="F64" i="1"/>
  <c r="G64" i="1"/>
  <c r="E47" i="1"/>
  <c r="H57" i="1"/>
  <c r="E74" i="1"/>
  <c r="G81" i="1"/>
  <c r="E90" i="1"/>
  <c r="E93" i="1"/>
  <c r="E97" i="1"/>
  <c r="F30" i="1"/>
  <c r="E43" i="1"/>
  <c r="E52" i="1"/>
  <c r="E55" i="1"/>
  <c r="E59" i="1"/>
  <c r="E73" i="1"/>
  <c r="E35" i="1"/>
  <c r="F34" i="1"/>
  <c r="F23" i="1"/>
  <c r="E28" i="1"/>
  <c r="E18" i="1"/>
  <c r="E84" i="1"/>
  <c r="E58" i="1"/>
  <c r="E72" i="1"/>
  <c r="E82" i="1"/>
  <c r="E87" i="1"/>
  <c r="G57" i="1"/>
  <c r="E39" i="1"/>
  <c r="E15" i="1"/>
  <c r="E33" i="1"/>
  <c r="E37" i="1"/>
  <c r="E41" i="1"/>
  <c r="E54" i="1"/>
  <c r="E51" i="1"/>
  <c r="G71" i="1"/>
  <c r="H23" i="1"/>
  <c r="E32" i="1"/>
  <c r="H71" i="1"/>
  <c r="E66" i="1"/>
  <c r="E25" i="1"/>
  <c r="E5" i="1"/>
  <c r="E13" i="1"/>
  <c r="E21" i="1"/>
  <c r="G23" i="1"/>
  <c r="H34" i="1"/>
  <c r="E65" i="1"/>
  <c r="E14" i="1"/>
  <c r="F12" i="1"/>
  <c r="E17" i="1"/>
  <c r="H12" i="1"/>
  <c r="E77" i="1"/>
  <c r="F71" i="1"/>
  <c r="G12" i="1"/>
  <c r="E16" i="1"/>
  <c r="E7" i="1"/>
  <c r="E11" i="1"/>
  <c r="E36" i="1"/>
  <c r="E49" i="1"/>
  <c r="E26" i="1"/>
  <c r="G30" i="1"/>
  <c r="G34" i="1"/>
  <c r="E24" i="1"/>
  <c r="E27" i="1"/>
  <c r="E20" i="1"/>
  <c r="E45" i="1"/>
  <c r="G100" i="1" l="1"/>
  <c r="E4" i="1"/>
  <c r="E9" i="1" s="1"/>
  <c r="K111" i="1"/>
  <c r="E88" i="1"/>
  <c r="E94" i="1"/>
  <c r="H30" i="1"/>
  <c r="E62" i="1"/>
  <c r="E61" i="1"/>
  <c r="E53" i="1"/>
  <c r="H81" i="1"/>
  <c r="E48" i="1"/>
  <c r="E83" i="1"/>
  <c r="E81" i="1" s="1"/>
  <c r="G102" i="1"/>
  <c r="E31" i="1"/>
  <c r="E30" i="1" s="1"/>
  <c r="H44" i="1"/>
  <c r="E50" i="1"/>
  <c r="E46" i="1"/>
  <c r="F44" i="1"/>
  <c r="H9" i="1"/>
  <c r="E64" i="1"/>
  <c r="E71" i="1"/>
  <c r="F57" i="1"/>
  <c r="E34" i="1"/>
  <c r="E23" i="1"/>
  <c r="E12" i="1"/>
  <c r="F100" i="1" l="1"/>
  <c r="H100" i="1"/>
  <c r="K114" i="1"/>
  <c r="L111" i="1"/>
  <c r="E57" i="1"/>
  <c r="H102" i="1"/>
  <c r="F102" i="1"/>
  <c r="E44" i="1"/>
  <c r="E100" i="1" s="1"/>
  <c r="J4" i="1"/>
  <c r="L3" i="1"/>
  <c r="L4" i="1"/>
  <c r="J5" i="1"/>
  <c r="J8" i="1"/>
  <c r="J3" i="1"/>
  <c r="K5" i="1"/>
  <c r="J7" i="1"/>
  <c r="L5" i="1"/>
  <c r="K7" i="1"/>
  <c r="J6" i="1"/>
  <c r="K4" i="1"/>
  <c r="K6" i="1"/>
  <c r="L6" i="1"/>
  <c r="L8" i="1"/>
  <c r="K8" i="1"/>
  <c r="K3" i="1"/>
  <c r="L7" i="1"/>
  <c r="K116" i="1" l="1"/>
  <c r="L114" i="1"/>
  <c r="L116" i="1" l="1"/>
  <c r="K119" i="1"/>
  <c r="J79" i="1"/>
  <c r="F111" i="1"/>
  <c r="K21" i="1"/>
  <c r="K49" i="1"/>
  <c r="K35" i="1"/>
  <c r="L69" i="1"/>
  <c r="K58" i="1"/>
  <c r="J84" i="1"/>
  <c r="J40" i="1"/>
  <c r="J95" i="1"/>
  <c r="L25" i="1"/>
  <c r="L51" i="1"/>
  <c r="J92" i="1"/>
  <c r="N1" i="2"/>
  <c r="K100" i="1"/>
  <c r="K15" i="1"/>
  <c r="K17" i="1"/>
  <c r="K50" i="1"/>
  <c r="K90" i="1"/>
  <c r="K36" i="1"/>
  <c r="L55" i="1"/>
  <c r="J94" i="1"/>
  <c r="J60" i="1"/>
  <c r="J59" i="1"/>
  <c r="K16" i="1"/>
  <c r="J43" i="1"/>
  <c r="J50" i="1"/>
  <c r="L77" i="1"/>
  <c r="J35" i="1"/>
  <c r="L31" i="1"/>
  <c r="K53" i="1"/>
  <c r="K82" i="1"/>
  <c r="J26" i="1"/>
  <c r="L15" i="1"/>
  <c r="K45" i="1"/>
  <c r="J21" i="1"/>
  <c r="L14" i="1"/>
  <c r="L65" i="1"/>
  <c r="L26" i="1"/>
  <c r="K83" i="1"/>
  <c r="J53" i="1"/>
  <c r="K89" i="1"/>
  <c r="K86" i="1"/>
  <c r="K27" i="1"/>
  <c r="L87" i="1"/>
  <c r="J99" i="1"/>
  <c r="K20" i="1"/>
  <c r="J76" i="1"/>
  <c r="J87" i="1"/>
  <c r="J20" i="1"/>
  <c r="L93" i="1"/>
  <c r="J51" i="1"/>
  <c r="J86" i="1"/>
  <c r="L33" i="1"/>
  <c r="K97" i="1"/>
  <c r="L60" i="1"/>
  <c r="L18" i="1"/>
  <c r="J66" i="1"/>
  <c r="J90" i="1"/>
  <c r="J46" i="1"/>
  <c r="K33" i="1"/>
  <c r="J55" i="1"/>
  <c r="K75" i="1"/>
  <c r="K12" i="1"/>
  <c r="L92" i="1"/>
  <c r="J77" i="1"/>
  <c r="J25" i="1"/>
  <c r="J49" i="1"/>
  <c r="L35" i="1"/>
  <c r="L24" i="1"/>
  <c r="K93" i="1"/>
  <c r="J14" i="1"/>
  <c r="K92" i="1"/>
  <c r="L16" i="1"/>
  <c r="K13" i="1"/>
  <c r="E102" i="1"/>
  <c r="L67" i="1"/>
  <c r="K67" i="1"/>
  <c r="K72" i="1"/>
  <c r="L49" i="1"/>
  <c r="L68" i="1"/>
  <c r="L47" i="1"/>
  <c r="J67" i="1"/>
  <c r="J16" i="1"/>
  <c r="J68" i="1"/>
  <c r="L99" i="1"/>
  <c r="J48" i="1"/>
  <c r="J93" i="1"/>
  <c r="K84" i="1"/>
  <c r="J96" i="1"/>
  <c r="K52" i="1"/>
  <c r="L96" i="1"/>
  <c r="K91" i="1"/>
  <c r="J24" i="1"/>
  <c r="J72" i="1"/>
  <c r="K59" i="1"/>
  <c r="L52" i="1"/>
  <c r="L100" i="1"/>
  <c r="L83" i="1"/>
  <c r="L86" i="1"/>
  <c r="J74" i="1"/>
  <c r="L89" i="1"/>
  <c r="L32" i="1"/>
  <c r="K85" i="1"/>
  <c r="J85" i="1"/>
  <c r="J13" i="1"/>
  <c r="J52" i="1"/>
  <c r="K39" i="1"/>
  <c r="L12" i="1"/>
  <c r="L50" i="1"/>
  <c r="K76" i="1"/>
  <c r="J65" i="1"/>
  <c r="J73" i="1"/>
  <c r="L66" i="1"/>
  <c r="J75" i="1"/>
  <c r="L74" i="1"/>
  <c r="J97" i="1"/>
  <c r="K18" i="1"/>
  <c r="L45" i="1"/>
  <c r="L98" i="1"/>
  <c r="K10" i="1"/>
  <c r="K80" i="1"/>
  <c r="K24" i="1"/>
  <c r="L75" i="1"/>
  <c r="L42" i="1"/>
  <c r="J69" i="1"/>
  <c r="J58" i="1"/>
  <c r="L20" i="1"/>
  <c r="K98" i="1"/>
  <c r="L61" i="1"/>
  <c r="L85" i="1"/>
  <c r="L91" i="1"/>
  <c r="J45" i="1"/>
  <c r="L59" i="1"/>
  <c r="K54" i="1"/>
  <c r="L43" i="1"/>
  <c r="K73" i="1"/>
  <c r="J19" i="1"/>
  <c r="J78" i="1"/>
  <c r="J38" i="1"/>
  <c r="J42" i="1"/>
  <c r="L41" i="1"/>
  <c r="K60" i="1"/>
  <c r="K66" i="1"/>
  <c r="L27" i="1"/>
  <c r="K87" i="1"/>
  <c r="J37" i="1"/>
  <c r="L54" i="1"/>
  <c r="L17" i="1"/>
  <c r="K62" i="1"/>
  <c r="L95" i="1"/>
  <c r="K78" i="1"/>
  <c r="L10" i="1"/>
  <c r="L46" i="1"/>
  <c r="L58" i="1"/>
  <c r="L97" i="1"/>
  <c r="L82" i="1"/>
  <c r="K95" i="1"/>
  <c r="J41" i="1"/>
  <c r="L36" i="1"/>
  <c r="K96" i="1"/>
  <c r="K77" i="1"/>
  <c r="J82" i="1"/>
  <c r="J36" i="1"/>
  <c r="J83" i="1"/>
  <c r="L21" i="1"/>
  <c r="L90" i="1"/>
  <c r="J63" i="1"/>
  <c r="K70" i="1"/>
  <c r="K63" i="1"/>
  <c r="L78" i="1"/>
  <c r="J10" i="1"/>
  <c r="K56" i="1"/>
  <c r="K29" i="1"/>
  <c r="J27" i="1"/>
  <c r="L73" i="1"/>
  <c r="J47" i="1"/>
  <c r="L53" i="1"/>
  <c r="K48" i="1"/>
  <c r="K69" i="1"/>
  <c r="L79" i="1"/>
  <c r="J98" i="1"/>
  <c r="L13" i="1"/>
  <c r="J100" i="1"/>
  <c r="J61" i="1"/>
  <c r="J62" i="1"/>
  <c r="J39" i="1"/>
  <c r="K51" i="1"/>
  <c r="K26" i="1"/>
  <c r="K25" i="1"/>
  <c r="L37" i="1"/>
  <c r="L84" i="1"/>
  <c r="K55" i="1"/>
  <c r="L72" i="1"/>
  <c r="K46" i="1"/>
  <c r="L39" i="1"/>
  <c r="K41" i="1"/>
  <c r="J91" i="1"/>
  <c r="L62" i="1"/>
  <c r="L76" i="1"/>
  <c r="K43" i="1"/>
  <c r="K37" i="1"/>
  <c r="K42" i="1"/>
  <c r="L70" i="1"/>
  <c r="J80" i="1"/>
  <c r="K14" i="1"/>
  <c r="K99" i="1"/>
  <c r="L48" i="1"/>
  <c r="J89" i="1"/>
  <c r="J31" i="1"/>
  <c r="K31" i="1"/>
  <c r="J18" i="1"/>
  <c r="J17" i="1"/>
  <c r="L28" i="1"/>
  <c r="K65" i="1"/>
  <c r="K47" i="1"/>
  <c r="K61" i="1"/>
  <c r="K32" i="1"/>
  <c r="J32" i="1"/>
  <c r="J15" i="1"/>
  <c r="K74" i="1"/>
  <c r="J54" i="1"/>
  <c r="K68" i="1"/>
  <c r="K28" i="1"/>
  <c r="J28" i="1"/>
  <c r="K40" i="1"/>
  <c r="L29" i="1"/>
  <c r="K38" i="1"/>
  <c r="L22" i="1"/>
  <c r="K79" i="1"/>
  <c r="J56" i="1"/>
  <c r="J33" i="1"/>
  <c r="L38" i="1"/>
  <c r="K19" i="1"/>
  <c r="L63" i="1"/>
  <c r="L80" i="1"/>
  <c r="K22" i="1"/>
  <c r="L19" i="1"/>
  <c r="J22" i="1"/>
  <c r="L56" i="1"/>
  <c r="L40" i="1"/>
  <c r="J29" i="1"/>
  <c r="J70" i="1"/>
  <c r="K101" i="1" l="1"/>
  <c r="L101" i="1"/>
  <c r="F118" i="1"/>
  <c r="F119" i="1"/>
  <c r="J101" i="1"/>
</calcChain>
</file>

<file path=xl/sharedStrings.xml><?xml version="1.0" encoding="utf-8"?>
<sst xmlns="http://schemas.openxmlformats.org/spreadsheetml/2006/main" count="1104" uniqueCount="421">
  <si>
    <t>발생주의</t>
    <phoneticPr fontId="2" type="noConversion"/>
  </si>
  <si>
    <t>부과기준(교통/관리비)</t>
    <phoneticPr fontId="2" type="noConversion"/>
  </si>
  <si>
    <t>금액</t>
    <phoneticPr fontId="2" type="noConversion"/>
  </si>
  <si>
    <t>비중</t>
    <phoneticPr fontId="2" type="noConversion"/>
  </si>
  <si>
    <t>이슈</t>
    <phoneticPr fontId="2" type="noConversion"/>
  </si>
  <si>
    <t>당월</t>
    <phoneticPr fontId="2" type="noConversion"/>
  </si>
  <si>
    <t>저축목표</t>
    <phoneticPr fontId="2" type="noConversion"/>
  </si>
  <si>
    <t>월 560</t>
  </si>
  <si>
    <t>연 저축 목표, 4000</t>
  </si>
  <si>
    <t>계정</t>
    <phoneticPr fontId="2" type="noConversion"/>
  </si>
  <si>
    <t>대분류</t>
    <phoneticPr fontId="2" type="noConversion"/>
  </si>
  <si>
    <t>소분류</t>
    <phoneticPr fontId="2" type="noConversion"/>
  </si>
  <si>
    <t>항목세부</t>
    <phoneticPr fontId="5" type="noConversion"/>
  </si>
  <si>
    <t>공동</t>
    <phoneticPr fontId="2" type="noConversion"/>
  </si>
  <si>
    <t>엉아</t>
    <phoneticPr fontId="2" type="noConversion"/>
  </si>
  <si>
    <t>아기</t>
    <phoneticPr fontId="2" type="noConversion"/>
  </si>
  <si>
    <t>익월</t>
    <phoneticPr fontId="2" type="noConversion"/>
  </si>
  <si>
    <t>상환목표</t>
    <phoneticPr fontId="2" type="noConversion"/>
  </si>
  <si>
    <t>수입</t>
    <phoneticPr fontId="2" type="noConversion"/>
  </si>
  <si>
    <t>고정</t>
    <phoneticPr fontId="2" type="noConversion"/>
  </si>
  <si>
    <t>급여</t>
    <phoneticPr fontId="2" type="noConversion"/>
  </si>
  <si>
    <t>변동</t>
    <phoneticPr fontId="2" type="noConversion"/>
  </si>
  <si>
    <t>변동수입</t>
    <phoneticPr fontId="2" type="noConversion"/>
  </si>
  <si>
    <t>이자</t>
    <phoneticPr fontId="5" type="noConversion"/>
  </si>
  <si>
    <t>배당</t>
    <phoneticPr fontId="2" type="noConversion"/>
  </si>
  <si>
    <t>수입_기타</t>
    <phoneticPr fontId="5" type="noConversion"/>
  </si>
  <si>
    <t>회수</t>
    <phoneticPr fontId="5" type="noConversion"/>
  </si>
  <si>
    <t>예적금만기/주식매도</t>
    <phoneticPr fontId="2" type="noConversion"/>
  </si>
  <si>
    <t>수입 계</t>
    <phoneticPr fontId="2" type="noConversion"/>
  </si>
  <si>
    <t>지출</t>
    <phoneticPr fontId="2" type="noConversion"/>
  </si>
  <si>
    <t>임차</t>
    <phoneticPr fontId="2" type="noConversion"/>
  </si>
  <si>
    <t>관리</t>
    <phoneticPr fontId="2" type="noConversion"/>
  </si>
  <si>
    <t>관리기본</t>
    <phoneticPr fontId="5" type="noConversion"/>
  </si>
  <si>
    <t>수도</t>
    <phoneticPr fontId="5" type="noConversion"/>
  </si>
  <si>
    <t>전기</t>
    <phoneticPr fontId="5" type="noConversion"/>
  </si>
  <si>
    <t>가스</t>
    <phoneticPr fontId="5" type="noConversion"/>
  </si>
  <si>
    <t>시공비</t>
    <phoneticPr fontId="2" type="noConversion"/>
  </si>
  <si>
    <t>수리</t>
    <phoneticPr fontId="5" type="noConversion"/>
  </si>
  <si>
    <t>관리_기타</t>
    <phoneticPr fontId="5" type="noConversion"/>
  </si>
  <si>
    <t>예치금</t>
    <phoneticPr fontId="2" type="noConversion"/>
  </si>
  <si>
    <t>대출상환</t>
    <phoneticPr fontId="2" type="noConversion"/>
  </si>
  <si>
    <t>대출이자</t>
    <phoneticPr fontId="2" type="noConversion"/>
  </si>
  <si>
    <t>저축</t>
    <phoneticPr fontId="2" type="noConversion"/>
  </si>
  <si>
    <t>예금</t>
    <phoneticPr fontId="5" type="noConversion"/>
  </si>
  <si>
    <t>적금</t>
    <phoneticPr fontId="2" type="noConversion"/>
  </si>
  <si>
    <t>주택청약</t>
    <phoneticPr fontId="5" type="noConversion"/>
  </si>
  <si>
    <t>보험</t>
    <phoneticPr fontId="2" type="noConversion"/>
  </si>
  <si>
    <t>통신</t>
    <phoneticPr fontId="2" type="noConversion"/>
  </si>
  <si>
    <t>전화</t>
    <phoneticPr fontId="5" type="noConversion"/>
  </si>
  <si>
    <t>인터넷</t>
    <phoneticPr fontId="5" type="noConversion"/>
  </si>
  <si>
    <t>교통</t>
    <phoneticPr fontId="2" type="noConversion"/>
  </si>
  <si>
    <t>대중교통</t>
    <phoneticPr fontId="5" type="noConversion"/>
  </si>
  <si>
    <t>버스/지하철</t>
    <phoneticPr fontId="2" type="noConversion"/>
  </si>
  <si>
    <t>택시</t>
    <phoneticPr fontId="5" type="noConversion"/>
  </si>
  <si>
    <t>교통_기타</t>
    <phoneticPr fontId="5" type="noConversion"/>
  </si>
  <si>
    <t>기차/시외버스/유류/답례/따릉이</t>
    <phoneticPr fontId="2" type="noConversion"/>
  </si>
  <si>
    <t>세금</t>
    <phoneticPr fontId="2" type="noConversion"/>
  </si>
  <si>
    <t>주민세</t>
    <phoneticPr fontId="2" type="noConversion"/>
  </si>
  <si>
    <t>수수료</t>
    <phoneticPr fontId="2" type="noConversion"/>
  </si>
  <si>
    <t>주민센터/은행/보증료(매2년)</t>
    <phoneticPr fontId="2" type="noConversion"/>
  </si>
  <si>
    <t>식비</t>
    <phoneticPr fontId="2" type="noConversion"/>
  </si>
  <si>
    <t>외식_아침</t>
    <phoneticPr fontId="5" type="noConversion"/>
  </si>
  <si>
    <t>외식_점심</t>
    <phoneticPr fontId="5" type="noConversion"/>
  </si>
  <si>
    <t>외식_저녁</t>
    <phoneticPr fontId="5" type="noConversion"/>
  </si>
  <si>
    <t>배달</t>
    <phoneticPr fontId="5" type="noConversion"/>
  </si>
  <si>
    <t>음주</t>
    <phoneticPr fontId="5" type="noConversion"/>
  </si>
  <si>
    <t>커피</t>
    <phoneticPr fontId="5" type="noConversion"/>
  </si>
  <si>
    <t>생수</t>
    <phoneticPr fontId="5" type="noConversion"/>
  </si>
  <si>
    <t>생수/정수기</t>
    <phoneticPr fontId="2" type="noConversion"/>
  </si>
  <si>
    <t>간식</t>
    <phoneticPr fontId="5" type="noConversion"/>
  </si>
  <si>
    <t>식자재</t>
    <phoneticPr fontId="5" type="noConversion"/>
  </si>
  <si>
    <t>과일</t>
    <phoneticPr fontId="5" type="noConversion"/>
  </si>
  <si>
    <t>배달비</t>
    <phoneticPr fontId="5" type="noConversion"/>
  </si>
  <si>
    <t>배달음식</t>
    <phoneticPr fontId="2" type="noConversion"/>
  </si>
  <si>
    <t>주거</t>
    <phoneticPr fontId="2" type="noConversion"/>
  </si>
  <si>
    <t>주방</t>
    <phoneticPr fontId="5" type="noConversion"/>
  </si>
  <si>
    <t>세제/수세미/조리도구</t>
    <phoneticPr fontId="2" type="noConversion"/>
  </si>
  <si>
    <t>욕실</t>
    <phoneticPr fontId="5" type="noConversion"/>
  </si>
  <si>
    <t>두루마리화장지/수건/샤워볼</t>
    <phoneticPr fontId="2" type="noConversion"/>
  </si>
  <si>
    <t>가전</t>
    <phoneticPr fontId="5" type="noConversion"/>
  </si>
  <si>
    <t>렌탈/수리</t>
    <phoneticPr fontId="2" type="noConversion"/>
  </si>
  <si>
    <t>가구</t>
    <phoneticPr fontId="5" type="noConversion"/>
  </si>
  <si>
    <t>커튼/옷걸이/이불</t>
    <phoneticPr fontId="2" type="noConversion"/>
  </si>
  <si>
    <t>주거_기타</t>
    <phoneticPr fontId="5" type="noConversion"/>
  </si>
  <si>
    <t>종량제봉투/이사/청소/음식물쓰레기/건전지</t>
    <phoneticPr fontId="2" type="noConversion"/>
  </si>
  <si>
    <t>생활</t>
    <phoneticPr fontId="2" type="noConversion"/>
  </si>
  <si>
    <t>바디</t>
    <phoneticPr fontId="5" type="noConversion"/>
  </si>
  <si>
    <t>세면/구강/샴푸/핸드워시</t>
    <phoneticPr fontId="2" type="noConversion"/>
  </si>
  <si>
    <t>기초케어</t>
    <phoneticPr fontId="5" type="noConversion"/>
  </si>
  <si>
    <t>스킨/로션/크림/면도</t>
    <phoneticPr fontId="2" type="noConversion"/>
  </si>
  <si>
    <t>미용실</t>
    <phoneticPr fontId="5" type="noConversion"/>
  </si>
  <si>
    <t>생활_기타</t>
    <phoneticPr fontId="5" type="noConversion"/>
  </si>
  <si>
    <t>물티슈/미용티슈/생리대/마스크/면봉/봉투값</t>
    <phoneticPr fontId="2" type="noConversion"/>
  </si>
  <si>
    <t>의복</t>
    <phoneticPr fontId="2" type="noConversion"/>
  </si>
  <si>
    <t>상의</t>
    <phoneticPr fontId="5" type="noConversion"/>
  </si>
  <si>
    <t>하의</t>
    <phoneticPr fontId="5" type="noConversion"/>
  </si>
  <si>
    <t>내의</t>
    <phoneticPr fontId="5" type="noConversion"/>
  </si>
  <si>
    <t>속옷/샤워가운</t>
    <phoneticPr fontId="2" type="noConversion"/>
  </si>
  <si>
    <t>외투</t>
    <phoneticPr fontId="5" type="noConversion"/>
  </si>
  <si>
    <t>상+하의 (원피스)</t>
    <phoneticPr fontId="2" type="noConversion"/>
  </si>
  <si>
    <t>잡화</t>
    <phoneticPr fontId="5" type="noConversion"/>
  </si>
  <si>
    <t>양말/신발/가방/모자/안경</t>
    <phoneticPr fontId="2" type="noConversion"/>
  </si>
  <si>
    <t>의복관리</t>
    <phoneticPr fontId="5" type="noConversion"/>
  </si>
  <si>
    <t>세제/세탁소/세탁/수선/렌즈클리너</t>
    <phoneticPr fontId="2" type="noConversion"/>
  </si>
  <si>
    <t>건강</t>
    <phoneticPr fontId="2" type="noConversion"/>
  </si>
  <si>
    <t>병원</t>
    <phoneticPr fontId="5" type="noConversion"/>
  </si>
  <si>
    <t>약</t>
    <phoneticPr fontId="5" type="noConversion"/>
  </si>
  <si>
    <t>운동</t>
    <phoneticPr fontId="5" type="noConversion"/>
  </si>
  <si>
    <t>헬스장/운동복/운동기구</t>
    <phoneticPr fontId="2" type="noConversion"/>
  </si>
  <si>
    <t>영양</t>
    <phoneticPr fontId="5" type="noConversion"/>
  </si>
  <si>
    <t>영양제/보충제</t>
    <phoneticPr fontId="2" type="noConversion"/>
  </si>
  <si>
    <t>건강_기타</t>
    <phoneticPr fontId="5" type="noConversion"/>
  </si>
  <si>
    <t>파스/밴드/소독</t>
    <phoneticPr fontId="2" type="noConversion"/>
  </si>
  <si>
    <t>자동차</t>
    <phoneticPr fontId="2" type="noConversion"/>
  </si>
  <si>
    <t>주유주차</t>
    <phoneticPr fontId="5" type="noConversion"/>
  </si>
  <si>
    <t>아기차 주유/아기차 주차비</t>
    <phoneticPr fontId="2" type="noConversion"/>
  </si>
  <si>
    <t>여가</t>
    <phoneticPr fontId="2" type="noConversion"/>
  </si>
  <si>
    <t>여행</t>
    <phoneticPr fontId="5" type="noConversion"/>
  </si>
  <si>
    <t>숙박/식비/교통/참가비</t>
    <phoneticPr fontId="2" type="noConversion"/>
  </si>
  <si>
    <t>개발</t>
    <phoneticPr fontId="5" type="noConversion"/>
  </si>
  <si>
    <t>도서/문구/토익</t>
    <phoneticPr fontId="2" type="noConversion"/>
  </si>
  <si>
    <t>여가_기타</t>
    <phoneticPr fontId="5" type="noConversion"/>
  </si>
  <si>
    <t>복권/연회비/정기결제</t>
    <phoneticPr fontId="2" type="noConversion"/>
  </si>
  <si>
    <t>투자</t>
    <phoneticPr fontId="5" type="noConversion"/>
  </si>
  <si>
    <t>경조사</t>
    <phoneticPr fontId="2" type="noConversion"/>
  </si>
  <si>
    <t>현금</t>
    <phoneticPr fontId="5" type="noConversion"/>
  </si>
  <si>
    <t>선물</t>
    <phoneticPr fontId="5" type="noConversion"/>
  </si>
  <si>
    <t>식사</t>
    <phoneticPr fontId="2" type="noConversion"/>
  </si>
  <si>
    <t>지인</t>
    <phoneticPr fontId="2" type="noConversion"/>
  </si>
  <si>
    <t>지출 계</t>
    <phoneticPr fontId="2" type="noConversion"/>
  </si>
  <si>
    <t>수입-지출</t>
    <phoneticPr fontId="2" type="noConversion"/>
  </si>
  <si>
    <t>평가</t>
    <phoneticPr fontId="2" type="noConversion"/>
  </si>
  <si>
    <t>외식비용 15,000까지 인정</t>
    <phoneticPr fontId="2" type="noConversion"/>
  </si>
  <si>
    <t>신한아기</t>
    <phoneticPr fontId="2" type="noConversion"/>
  </si>
  <si>
    <t>용돈 50,000</t>
    <phoneticPr fontId="2" type="noConversion"/>
  </si>
  <si>
    <t>현금</t>
    <phoneticPr fontId="2" type="noConversion"/>
  </si>
  <si>
    <t>롯데</t>
    <phoneticPr fontId="2" type="noConversion"/>
  </si>
  <si>
    <t>청약 100,000</t>
    <phoneticPr fontId="2" type="noConversion"/>
  </si>
  <si>
    <t>잉여분은 대출상환</t>
    <phoneticPr fontId="2" type="noConversion"/>
  </si>
  <si>
    <t>신한</t>
    <phoneticPr fontId="2" type="noConversion"/>
  </si>
  <si>
    <t>국민</t>
    <phoneticPr fontId="2" type="noConversion"/>
  </si>
  <si>
    <t>카페비용 인당 10,000까지 인정</t>
  </si>
  <si>
    <t>하나</t>
    <phoneticPr fontId="2" type="noConversion"/>
  </si>
  <si>
    <t>비씨</t>
    <phoneticPr fontId="2" type="noConversion"/>
  </si>
  <si>
    <t>공동 배달 월 270,000 추가금 용돈 차감</t>
  </si>
  <si>
    <t>씨티클</t>
    <phoneticPr fontId="2" type="noConversion"/>
  </si>
  <si>
    <t>현대</t>
    <phoneticPr fontId="2" type="noConversion"/>
  </si>
  <si>
    <t>일반 개인 배달 건당 15,000까지</t>
  </si>
  <si>
    <t>현금엉아</t>
    <phoneticPr fontId="2" type="noConversion"/>
  </si>
  <si>
    <t>현금아기</t>
    <phoneticPr fontId="2" type="noConversion"/>
  </si>
  <si>
    <t>생일 150,000 현금 용돈</t>
  </si>
  <si>
    <t>합계</t>
    <phoneticPr fontId="2" type="noConversion"/>
  </si>
  <si>
    <t>부모님 생신 150,000(식사, 선물 알아서, 이년 안됨), 명절 10만원</t>
    <phoneticPr fontId="2" type="noConversion"/>
  </si>
  <si>
    <t xml:space="preserve"> 용돈이 차 결제시까지 없다.</t>
  </si>
  <si>
    <t xml:space="preserve"> 식대는 묻따 15000원 (단일 식자재 포함)</t>
  </si>
  <si>
    <t>경비인정액</t>
    <phoneticPr fontId="2" type="noConversion"/>
  </si>
  <si>
    <t xml:space="preserve"> 현금받을거면 현금xx 아닌거면 현금</t>
  </si>
  <si>
    <t>용돈</t>
    <phoneticPr fontId="2" type="noConversion"/>
  </si>
  <si>
    <t xml:space="preserve"> 커피는 하루 총량 만원 까지</t>
  </si>
  <si>
    <t>입금액</t>
    <phoneticPr fontId="2" type="noConversion"/>
  </si>
  <si>
    <t xml:space="preserve"> 배달 금지</t>
  </si>
  <si>
    <t xml:space="preserve"> 용돈 50,000</t>
  </si>
  <si>
    <t>차감</t>
    <phoneticPr fontId="2" type="noConversion"/>
  </si>
  <si>
    <t>"공동" 배달금지</t>
  </si>
  <si>
    <t>한명월급 이상 무조건 저축</t>
  </si>
  <si>
    <t>못넘으면 하나씩 다음달거 통제할거 정하기</t>
  </si>
  <si>
    <t>달에 560만원씩 모아</t>
  </si>
  <si>
    <t>성의규모만큼 용돈 없다</t>
  </si>
  <si>
    <t>술먹고 타는 택시 용돈</t>
    <phoneticPr fontId="2" type="noConversion"/>
  </si>
  <si>
    <t>명절 5만원</t>
    <phoneticPr fontId="2" type="noConversion"/>
  </si>
  <si>
    <t>친구만나면 커피 만원 음식 15000 인정</t>
    <phoneticPr fontId="2" type="noConversion"/>
  </si>
  <si>
    <t>모든 경조는 건바이건으로 사전 승인제</t>
    <phoneticPr fontId="2" type="noConversion"/>
  </si>
  <si>
    <t>날짜</t>
  </si>
  <si>
    <t>구매처</t>
    <phoneticPr fontId="2" type="noConversion"/>
  </si>
  <si>
    <t>사용자</t>
    <phoneticPr fontId="2" type="noConversion"/>
  </si>
  <si>
    <t>지출(합계)</t>
    <phoneticPr fontId="2" type="noConversion"/>
  </si>
  <si>
    <t>내용</t>
    <phoneticPr fontId="2" type="noConversion"/>
  </si>
  <si>
    <t>단가</t>
    <phoneticPr fontId="2" type="noConversion"/>
  </si>
  <si>
    <t>개수</t>
    <phoneticPr fontId="2" type="noConversion"/>
  </si>
  <si>
    <t>지출(매수)</t>
    <phoneticPr fontId="2" type="noConversion"/>
  </si>
  <si>
    <t>결재수단</t>
  </si>
  <si>
    <t>증빙</t>
    <phoneticPr fontId="2" type="noConversion"/>
  </si>
  <si>
    <t>양말/신발/가방/모자</t>
    <phoneticPr fontId="2" type="noConversion"/>
  </si>
  <si>
    <t>세제/세탁소/세탁/수선</t>
    <phoneticPr fontId="2" type="noConversion"/>
  </si>
  <si>
    <t>차세금</t>
    <phoneticPr fontId="5" type="noConversion"/>
  </si>
  <si>
    <t>통행/과태료</t>
    <phoneticPr fontId="2" type="noConversion"/>
  </si>
  <si>
    <t>주식</t>
    <phoneticPr fontId="5" type="noConversion"/>
  </si>
  <si>
    <t>농협</t>
    <phoneticPr fontId="2" type="noConversion"/>
  </si>
  <si>
    <t>아기</t>
  </si>
  <si>
    <t>국민</t>
  </si>
  <si>
    <t>공동</t>
  </si>
  <si>
    <t>현대</t>
  </si>
  <si>
    <t>생수</t>
  </si>
  <si>
    <t>이자</t>
  </si>
  <si>
    <t>SKT</t>
  </si>
  <si>
    <t>전화</t>
  </si>
  <si>
    <t>KT</t>
  </si>
  <si>
    <t>인터넷</t>
  </si>
  <si>
    <t>한화손보</t>
  </si>
  <si>
    <t>보험</t>
  </si>
  <si>
    <t>LG전자</t>
  </si>
  <si>
    <t>삼성</t>
    <phoneticPr fontId="2" type="noConversion"/>
  </si>
  <si>
    <t>외식_점심</t>
  </si>
  <si>
    <t>외식_아침</t>
  </si>
  <si>
    <t>외식_저녁</t>
  </si>
  <si>
    <t>설 때 와인과, 560만원 룰에 대해 논의</t>
    <phoneticPr fontId="2" type="noConversion"/>
  </si>
  <si>
    <t>공동명의 이득?</t>
    <phoneticPr fontId="2" type="noConversion"/>
  </si>
  <si>
    <t>우렁쌈밥</t>
    <phoneticPr fontId="2" type="noConversion"/>
  </si>
  <si>
    <t>공동</t>
    <phoneticPr fontId="2" type="noConversion"/>
  </si>
  <si>
    <t>배달</t>
    <phoneticPr fontId="2" type="noConversion"/>
  </si>
  <si>
    <t>국민</t>
    <phoneticPr fontId="2" type="noConversion"/>
  </si>
  <si>
    <t>제주반했어</t>
    <phoneticPr fontId="2" type="noConversion"/>
  </si>
  <si>
    <t>선물</t>
    <phoneticPr fontId="2" type="noConversion"/>
  </si>
  <si>
    <t>현대</t>
    <phoneticPr fontId="2" type="noConversion"/>
  </si>
  <si>
    <t>써브웨이</t>
    <phoneticPr fontId="2" type="noConversion"/>
  </si>
  <si>
    <t>아기</t>
    <phoneticPr fontId="2" type="noConversion"/>
  </si>
  <si>
    <t>삼성</t>
    <phoneticPr fontId="2" type="noConversion"/>
  </si>
  <si>
    <t>농협</t>
    <phoneticPr fontId="2" type="noConversion"/>
  </si>
  <si>
    <t>화육면</t>
    <phoneticPr fontId="2" type="noConversion"/>
  </si>
  <si>
    <t>엉아</t>
    <phoneticPr fontId="2" type="noConversion"/>
  </si>
  <si>
    <t>가비당</t>
    <phoneticPr fontId="2" type="noConversion"/>
  </si>
  <si>
    <t>첫째날은 광고쿠폰 받아서 1000원 더 싼거</t>
    <phoneticPr fontId="2" type="noConversion"/>
  </si>
  <si>
    <t>서울재활의학과</t>
    <phoneticPr fontId="2" type="noConversion"/>
  </si>
  <si>
    <t>병원</t>
    <phoneticPr fontId="2" type="noConversion"/>
  </si>
  <si>
    <t>비즈엘약국</t>
    <phoneticPr fontId="2" type="noConversion"/>
  </si>
  <si>
    <t>크레이지카츠</t>
    <phoneticPr fontId="2" type="noConversion"/>
  </si>
  <si>
    <t>이마트</t>
    <phoneticPr fontId="2" type="noConversion"/>
  </si>
  <si>
    <t>음주</t>
    <phoneticPr fontId="2" type="noConversion"/>
  </si>
  <si>
    <t>고덕방</t>
    <phoneticPr fontId="2" type="noConversion"/>
  </si>
  <si>
    <t>커피</t>
  </si>
  <si>
    <t>커피</t>
    <phoneticPr fontId="2" type="noConversion"/>
  </si>
  <si>
    <t>실속보쌈</t>
    <phoneticPr fontId="2" type="noConversion"/>
  </si>
  <si>
    <t>피자알볼로</t>
    <phoneticPr fontId="2" type="noConversion"/>
  </si>
  <si>
    <t>저녁, 뭐먹었는지 모르겠음</t>
    <phoneticPr fontId="2" type="noConversion"/>
  </si>
  <si>
    <t>코스트코</t>
    <phoneticPr fontId="2" type="noConversion"/>
  </si>
  <si>
    <t>식자재</t>
    <phoneticPr fontId="2" type="noConversion"/>
  </si>
  <si>
    <t>더벤티</t>
  </si>
  <si>
    <t>더벤티</t>
    <phoneticPr fontId="2" type="noConversion"/>
  </si>
  <si>
    <t>한화손보</t>
    <phoneticPr fontId="2" type="noConversion"/>
  </si>
  <si>
    <t>보험</t>
    <phoneticPr fontId="2" type="noConversion"/>
  </si>
  <si>
    <t>교촌치킨</t>
    <phoneticPr fontId="2" type="noConversion"/>
  </si>
  <si>
    <t>CU</t>
    <phoneticPr fontId="2" type="noConversion"/>
  </si>
  <si>
    <t>현금아기</t>
    <phoneticPr fontId="2" type="noConversion"/>
  </si>
  <si>
    <t>인생맛죽</t>
    <phoneticPr fontId="2" type="noConversion"/>
  </si>
  <si>
    <t>모어댄구디스</t>
    <phoneticPr fontId="2" type="noConversion"/>
  </si>
  <si>
    <t>생생직판장</t>
    <phoneticPr fontId="2" type="noConversion"/>
  </si>
  <si>
    <t>Lagoon74</t>
    <phoneticPr fontId="2" type="noConversion"/>
  </si>
  <si>
    <t>원할머니보쌈</t>
    <phoneticPr fontId="2" type="noConversion"/>
  </si>
  <si>
    <t>PNT몰</t>
    <phoneticPr fontId="2" type="noConversion"/>
  </si>
  <si>
    <t>영양</t>
    <phoneticPr fontId="2" type="noConversion"/>
  </si>
  <si>
    <t>유산균 2달치</t>
    <phoneticPr fontId="2" type="noConversion"/>
  </si>
  <si>
    <t>쿠팡</t>
    <phoneticPr fontId="2" type="noConversion"/>
  </si>
  <si>
    <t>주거_기타</t>
    <phoneticPr fontId="2" type="noConversion"/>
  </si>
  <si>
    <t>면도기세정액 (거의 1년치)</t>
    <phoneticPr fontId="2" type="noConversion"/>
  </si>
  <si>
    <t>핫팩</t>
    <phoneticPr fontId="2" type="noConversion"/>
  </si>
  <si>
    <t>장미시장국밥</t>
    <phoneticPr fontId="2" type="noConversion"/>
  </si>
  <si>
    <t>코카콜라직영몰</t>
    <phoneticPr fontId="2" type="noConversion"/>
  </si>
  <si>
    <t>생수</t>
    <phoneticPr fontId="2" type="noConversion"/>
  </si>
  <si>
    <t>씨그램</t>
    <phoneticPr fontId="2" type="noConversion"/>
  </si>
  <si>
    <t>카페보니또</t>
    <phoneticPr fontId="2" type="noConversion"/>
  </si>
  <si>
    <t>정든집</t>
    <phoneticPr fontId="2" type="noConversion"/>
  </si>
  <si>
    <t>삼백돈</t>
    <phoneticPr fontId="2" type="noConversion"/>
  </si>
  <si>
    <t>애슐리</t>
    <phoneticPr fontId="2" type="noConversion"/>
  </si>
  <si>
    <t>KFC</t>
    <phoneticPr fontId="2" type="noConversion"/>
  </si>
  <si>
    <t>엘디스 리젠트</t>
    <phoneticPr fontId="2" type="noConversion"/>
  </si>
  <si>
    <t>여행</t>
    <phoneticPr fontId="2" type="noConversion"/>
  </si>
  <si>
    <t>택시</t>
    <phoneticPr fontId="2" type="noConversion"/>
  </si>
  <si>
    <t>장례식장까지</t>
    <phoneticPr fontId="2" type="noConversion"/>
  </si>
  <si>
    <t>파수타</t>
    <phoneticPr fontId="2" type="noConversion"/>
  </si>
  <si>
    <t>인바이트 디저트</t>
    <phoneticPr fontId="2" type="noConversion"/>
  </si>
  <si>
    <t>간식</t>
    <phoneticPr fontId="2" type="noConversion"/>
  </si>
  <si>
    <t>현대백화점</t>
    <phoneticPr fontId="2" type="noConversion"/>
  </si>
  <si>
    <t>세븐일레븐</t>
    <phoneticPr fontId="2" type="noConversion"/>
  </si>
  <si>
    <t>생고기 육회전문</t>
    <phoneticPr fontId="2" type="noConversion"/>
  </si>
  <si>
    <t>용돈</t>
    <phoneticPr fontId="2" type="noConversion"/>
  </si>
  <si>
    <t>현금</t>
    <phoneticPr fontId="2" type="noConversion"/>
  </si>
  <si>
    <t>장모님 용돈</t>
    <phoneticPr fontId="2" type="noConversion"/>
  </si>
  <si>
    <t>신세계</t>
    <phoneticPr fontId="2" type="noConversion"/>
  </si>
  <si>
    <t>SSG</t>
    <phoneticPr fontId="2" type="noConversion"/>
  </si>
  <si>
    <t>홈플러스</t>
    <phoneticPr fontId="2" type="noConversion"/>
  </si>
  <si>
    <t>곽장어</t>
    <phoneticPr fontId="2" type="noConversion"/>
  </si>
  <si>
    <t>육회의기적</t>
    <phoneticPr fontId="2" type="noConversion"/>
  </si>
  <si>
    <t>샹궈리라마라탕</t>
    <phoneticPr fontId="2" type="noConversion"/>
  </si>
  <si>
    <t>청년피자</t>
    <phoneticPr fontId="2" type="noConversion"/>
  </si>
  <si>
    <t>파스타입니다</t>
    <phoneticPr fontId="2" type="noConversion"/>
  </si>
  <si>
    <t>굽네치킨</t>
    <phoneticPr fontId="2" type="noConversion"/>
  </si>
  <si>
    <t>이영복김밥</t>
    <phoneticPr fontId="2" type="noConversion"/>
  </si>
  <si>
    <t>마라샹궈</t>
    <phoneticPr fontId="2" type="noConversion"/>
  </si>
  <si>
    <t>관찰레, 깐마늘</t>
    <phoneticPr fontId="2" type="noConversion"/>
  </si>
  <si>
    <t>보싸마보싸마</t>
    <phoneticPr fontId="2" type="noConversion"/>
  </si>
  <si>
    <t>풍림아이원</t>
    <phoneticPr fontId="2" type="noConversion"/>
  </si>
  <si>
    <t>관리기본</t>
    <phoneticPr fontId="2" type="noConversion"/>
  </si>
  <si>
    <t>멀티커피</t>
    <phoneticPr fontId="2" type="noConversion"/>
  </si>
  <si>
    <t>동원식당</t>
    <phoneticPr fontId="2" type="noConversion"/>
  </si>
  <si>
    <t>매머드커피</t>
    <phoneticPr fontId="2" type="noConversion"/>
  </si>
  <si>
    <t>더벤</t>
    <phoneticPr fontId="2" type="noConversion"/>
  </si>
  <si>
    <t>티플러스</t>
    <phoneticPr fontId="2" type="noConversion"/>
  </si>
  <si>
    <t>전화</t>
    <phoneticPr fontId="2" type="noConversion"/>
  </si>
  <si>
    <t>곳온니플레이스</t>
    <phoneticPr fontId="2" type="noConversion"/>
  </si>
  <si>
    <t>논두렁식당</t>
    <phoneticPr fontId="2" type="noConversion"/>
  </si>
  <si>
    <t>뉴로클</t>
    <phoneticPr fontId="2" type="noConversion"/>
  </si>
  <si>
    <t>급여</t>
    <phoneticPr fontId="2" type="noConversion"/>
  </si>
  <si>
    <t>우와숯불바베큐</t>
    <phoneticPr fontId="2" type="noConversion"/>
  </si>
  <si>
    <t>본죽</t>
    <phoneticPr fontId="2" type="noConversion"/>
  </si>
  <si>
    <t>솔솥</t>
    <phoneticPr fontId="2" type="noConversion"/>
  </si>
  <si>
    <t>대중교통</t>
    <phoneticPr fontId="2" type="noConversion"/>
  </si>
  <si>
    <t>2월</t>
    <phoneticPr fontId="2" type="noConversion"/>
  </si>
  <si>
    <t>엉아</t>
  </si>
  <si>
    <t>신한</t>
  </si>
  <si>
    <t>02월**30-0569 SKT요금</t>
  </si>
  <si>
    <t>신한은행</t>
  </si>
  <si>
    <t>대출이자</t>
  </si>
  <si>
    <t>393006242147 이자수</t>
  </si>
  <si>
    <t>비엔피</t>
    <phoneticPr fontId="2" type="noConversion"/>
  </si>
  <si>
    <t>비엔피 2월</t>
    <phoneticPr fontId="2" type="noConversion"/>
  </si>
  <si>
    <t>현금엉아</t>
  </si>
  <si>
    <t>주택금융공사</t>
    <phoneticPr fontId="2" type="noConversion"/>
  </si>
  <si>
    <t>대출연장</t>
    <phoneticPr fontId="2" type="noConversion"/>
  </si>
  <si>
    <t>수수료</t>
  </si>
  <si>
    <t>LH</t>
  </si>
  <si>
    <t>임차</t>
  </si>
  <si>
    <t>임차보증금</t>
    <phoneticPr fontId="2" type="noConversion"/>
  </si>
  <si>
    <t>현금</t>
  </si>
  <si>
    <t>새마을금고</t>
    <phoneticPr fontId="2" type="noConversion"/>
  </si>
  <si>
    <t>회수</t>
  </si>
  <si>
    <t>만기</t>
    <phoneticPr fontId="2" type="noConversion"/>
  </si>
  <si>
    <t>이자</t>
    <phoneticPr fontId="2" type="noConversion"/>
  </si>
  <si>
    <t>미스터보스턴 진 750</t>
    <phoneticPr fontId="2" type="noConversion"/>
  </si>
  <si>
    <t>1887 프리미티보</t>
    <phoneticPr fontId="2" type="noConversion"/>
  </si>
  <si>
    <t>참치15 에그슬라이스</t>
    <phoneticPr fontId="2" type="noConversion"/>
  </si>
  <si>
    <t>아이스아메리카노</t>
    <phoneticPr fontId="2" type="noConversion"/>
  </si>
  <si>
    <t>선불13</t>
    <phoneticPr fontId="2" type="noConversion"/>
  </si>
  <si>
    <t>약</t>
    <phoneticPr fontId="2" type="noConversion"/>
  </si>
  <si>
    <t>조제의약품</t>
    <phoneticPr fontId="2" type="noConversion"/>
  </si>
  <si>
    <t>외식_점심</t>
    <phoneticPr fontId="2" type="noConversion"/>
  </si>
  <si>
    <t>고기국수 EYH</t>
    <phoneticPr fontId="2" type="noConversion"/>
  </si>
  <si>
    <t>로티세리 바비큐 치킨15</t>
    <phoneticPr fontId="2" type="noConversion"/>
  </si>
  <si>
    <t>풀드포크 바비큐15</t>
    <phoneticPr fontId="2" type="noConversion"/>
  </si>
  <si>
    <t>3일점심 초코가나슈쿠키 뽀또크림치즈쿠키 르뱅쿠키</t>
    <phoneticPr fontId="2" type="noConversion"/>
  </si>
  <si>
    <t>한마리 간장허니갈릭반반 치즈트러플시즈님</t>
    <phoneticPr fontId="2" type="noConversion"/>
  </si>
  <si>
    <t>비싼거먹기로함 두끼 화덕마리게리따피자 빼쉐파스타</t>
    <phoneticPr fontId="2" type="noConversion"/>
  </si>
  <si>
    <t>34000 두끼 숭어+참돔</t>
    <phoneticPr fontId="2" type="noConversion"/>
  </si>
  <si>
    <t>보양삼계죽 계란찜</t>
    <phoneticPr fontId="2" type="noConversion"/>
  </si>
  <si>
    <t>고소한참치죽 메추리알조림</t>
    <phoneticPr fontId="2" type="noConversion"/>
  </si>
  <si>
    <t>이거 커피 만원침? 아니면 점심? 딸기생크림도넛 초콜릿도넛 라뗴</t>
    <phoneticPr fontId="2" type="noConversion"/>
  </si>
  <si>
    <t>단호박피자</t>
    <phoneticPr fontId="2" type="noConversion"/>
  </si>
  <si>
    <t>1인보쌈도시락</t>
    <phoneticPr fontId="2" type="noConversion"/>
  </si>
  <si>
    <t>제육볶음+우렁쌈밥</t>
    <phoneticPr fontId="2" type="noConversion"/>
  </si>
  <si>
    <t>압도적플러스제육 한라산소주P640</t>
    <phoneticPr fontId="2" type="noConversion"/>
  </si>
  <si>
    <t>참치15 애그슬라이스</t>
    <phoneticPr fontId="2" type="noConversion"/>
  </si>
  <si>
    <t>제임슨 블랙배럴 700m</t>
    <phoneticPr fontId="2" type="noConversion"/>
  </si>
  <si>
    <t>터키15</t>
    <phoneticPr fontId="2" type="noConversion"/>
  </si>
  <si>
    <t>계란토스트</t>
    <phoneticPr fontId="2" type="noConversion"/>
  </si>
  <si>
    <t>로스트치킨15</t>
    <phoneticPr fontId="2" type="noConversion"/>
  </si>
  <si>
    <t>우거지해장국 EYH</t>
    <phoneticPr fontId="2" type="noConversion"/>
  </si>
  <si>
    <t>참이슬클래식640</t>
    <phoneticPr fontId="2" type="noConversion"/>
  </si>
  <si>
    <t>쓰봉1개 20L</t>
    <phoneticPr fontId="2" type="noConversion"/>
  </si>
  <si>
    <t>79,000 취소영수증있음</t>
    <phoneticPr fontId="2" type="noConversion"/>
  </si>
  <si>
    <t>crembrulee</t>
    <phoneticPr fontId="2" type="noConversion"/>
  </si>
  <si>
    <t>today special</t>
    <phoneticPr fontId="2" type="noConversion"/>
  </si>
  <si>
    <t>hand drip</t>
    <phoneticPr fontId="2" type="noConversion"/>
  </si>
  <si>
    <t>카스1.6 켈리1.6 바삭팝콘스팸맛</t>
    <phoneticPr fontId="2" type="noConversion"/>
  </si>
  <si>
    <t>HRO 구석집</t>
    <phoneticPr fontId="2" type="noConversion"/>
  </si>
  <si>
    <t>컨디션헛개수</t>
    <phoneticPr fontId="2" type="noConversion"/>
  </si>
  <si>
    <t>조닌끼안티</t>
    <phoneticPr fontId="2" type="noConversion"/>
  </si>
  <si>
    <t>연어침훈제대파크</t>
    <phoneticPr fontId="2" type="noConversion"/>
  </si>
  <si>
    <t>8레전드템프라뇨</t>
    <phoneticPr fontId="2" type="noConversion"/>
  </si>
  <si>
    <t>판티니비네티델살</t>
    <phoneticPr fontId="2" type="noConversion"/>
  </si>
  <si>
    <t>고스트파인멜롯</t>
    <phoneticPr fontId="2" type="noConversion"/>
  </si>
  <si>
    <t>세라믹IH프라이팬</t>
    <phoneticPr fontId="2" type="noConversion"/>
  </si>
  <si>
    <t>주방</t>
    <phoneticPr fontId="2" type="noConversion"/>
  </si>
  <si>
    <t>터키15 에그슬라이스</t>
    <phoneticPr fontId="2" type="noConversion"/>
  </si>
  <si>
    <t>LH202601</t>
    <phoneticPr fontId="2" type="noConversion"/>
  </si>
  <si>
    <t>수입_기타</t>
  </si>
  <si>
    <t>만두 부라타</t>
    <phoneticPr fontId="2" type="noConversion"/>
  </si>
  <si>
    <t>전기</t>
    <phoneticPr fontId="2" type="noConversion"/>
  </si>
  <si>
    <t>가스</t>
    <phoneticPr fontId="2" type="noConversion"/>
  </si>
  <si>
    <t>(주)대호안전관리공</t>
    <phoneticPr fontId="2" type="noConversion"/>
  </si>
  <si>
    <t>수도</t>
    <phoneticPr fontId="2" type="noConversion"/>
  </si>
  <si>
    <t>일반관리비</t>
    <phoneticPr fontId="2" type="noConversion"/>
  </si>
  <si>
    <t>경비비</t>
  </si>
  <si>
    <t>청소비</t>
  </si>
  <si>
    <t>소독비</t>
  </si>
  <si>
    <t>승강기유지비</t>
  </si>
  <si>
    <t>수선유지비</t>
  </si>
  <si>
    <t>공용시설전기료</t>
  </si>
  <si>
    <t>승강기전기</t>
  </si>
  <si>
    <t>기본난방비</t>
  </si>
  <si>
    <t>공동난방비</t>
  </si>
  <si>
    <t>일자리지원금</t>
  </si>
  <si>
    <t>임차인대표운영</t>
  </si>
  <si>
    <t>관리비차감</t>
  </si>
  <si>
    <t>1월분 풍림아이원 2914동0903호</t>
    <phoneticPr fontId="2" type="noConversion"/>
  </si>
  <si>
    <t>전기 278Kw</t>
    <phoneticPr fontId="2" type="noConversion"/>
  </si>
  <si>
    <t>난방 0.88 mw</t>
    <phoneticPr fontId="2" type="noConversion"/>
  </si>
  <si>
    <t>수도 12m3</t>
    <phoneticPr fontId="2" type="noConversion"/>
  </si>
  <si>
    <t>온수 7m3</t>
    <phoneticPr fontId="2" type="noConversion"/>
  </si>
  <si>
    <t>고기만보쌈 소</t>
    <phoneticPr fontId="2" type="noConversion"/>
  </si>
  <si>
    <t>내맘대로마라샹궈</t>
    <phoneticPr fontId="2" type="noConversion"/>
  </si>
  <si>
    <t>바스크치즈케이크 초코가나슈쿠키 발로나초코휘낭시에</t>
    <phoneticPr fontId="2" type="noConversion"/>
  </si>
  <si>
    <t>소림마라 셀프마라상궈</t>
    <phoneticPr fontId="2" type="noConversion"/>
  </si>
  <si>
    <t>딸기생크림도넛 바닐라도넛 라즈베리크림도넛 피넛크림도넛</t>
    <phoneticPr fontId="2" type="noConversion"/>
  </si>
  <si>
    <t>김치볶음밥 전복비빔밥</t>
    <phoneticPr fontId="2" type="noConversion"/>
  </si>
  <si>
    <t>고추바사삭 순살</t>
    <phoneticPr fontId="2" type="noConversion"/>
  </si>
  <si>
    <t>새우필라프</t>
    <phoneticPr fontId="2" type="noConversion"/>
  </si>
  <si>
    <t>징거타워 에그타르트</t>
    <phoneticPr fontId="2" type="noConversion"/>
  </si>
  <si>
    <t>반반피자 윙 김춘자마늘갈비 매드쉬림프</t>
    <phoneticPr fontId="2" type="noConversion"/>
  </si>
  <si>
    <t>장어덮밥2인 간장1소금1</t>
    <phoneticPr fontId="2" type="noConversion"/>
  </si>
  <si>
    <t>미라클육회</t>
    <phoneticPr fontId="2" type="noConversion"/>
  </si>
  <si>
    <t>안심 돈카츠</t>
    <phoneticPr fontId="2" type="noConversion"/>
  </si>
  <si>
    <t>간단불고기200</t>
    <phoneticPr fontId="2" type="noConversion"/>
  </si>
  <si>
    <t>칼국수 만두 HSK SEP</t>
    <phoneticPr fontId="2" type="noConversion"/>
  </si>
  <si>
    <t>??</t>
    <phoneticPr fontId="2" type="noConversion"/>
  </si>
  <si>
    <t>두끼인듯 두끼 바스크치즈케이크 초코휘낭시에 르뱅쿠키 초코가나슈쿠키 초코스모어쿠키 솔트카라멜휘낭시에</t>
    <phoneticPr fontId="2" type="noConversion"/>
  </si>
  <si>
    <t>생활_기타</t>
  </si>
  <si>
    <t>기초케어</t>
  </si>
  <si>
    <t>치즈인듯</t>
    <phoneticPr fontId="2" type="noConversion"/>
  </si>
  <si>
    <t>식사</t>
  </si>
  <si>
    <t>삐즙</t>
    <phoneticPr fontId="2" type="noConversion"/>
  </si>
  <si>
    <t>소노마 커터 러시안 리버 밸리 피노누</t>
    <phoneticPr fontId="2" type="noConversion"/>
  </si>
  <si>
    <t>참우리술 이서양조 순수6%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</si>
</sst>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.0%;;"/>
    <numFmt numFmtId="177" formatCode="mm&quot;월&quot;\ dd&quot;일&quot;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14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41" fontId="0" fillId="0" borderId="0" xfId="1" applyFon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3" borderId="0" xfId="1" applyFont="1" applyFill="1" applyAlignment="1">
      <alignment horizontal="center" vertical="center"/>
    </xf>
    <xf numFmtId="41" fontId="0" fillId="4" borderId="0" xfId="1" applyFont="1" applyFill="1" applyAlignment="1">
      <alignment horizontal="center" vertical="center"/>
    </xf>
    <xf numFmtId="41" fontId="0" fillId="5" borderId="0" xfId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5" borderId="1" xfId="1" applyFont="1" applyFill="1" applyBorder="1">
      <alignment vertical="center"/>
    </xf>
    <xf numFmtId="176" fontId="0" fillId="3" borderId="0" xfId="2" applyNumberFormat="1" applyFont="1" applyFill="1">
      <alignment vertical="center"/>
    </xf>
    <xf numFmtId="176" fontId="0" fillId="4" borderId="0" xfId="2" applyNumberFormat="1" applyFont="1" applyFill="1">
      <alignment vertical="center"/>
    </xf>
    <xf numFmtId="176" fontId="0" fillId="5" borderId="0" xfId="2" applyNumberFormat="1" applyFont="1" applyFill="1">
      <alignment vertical="center"/>
    </xf>
    <xf numFmtId="38" fontId="6" fillId="0" borderId="1" xfId="0" applyNumberFormat="1" applyFont="1" applyBorder="1" applyAlignment="1" applyProtection="1">
      <alignment horizontal="left" vertical="center" indent="1"/>
      <protection locked="0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left" vertical="center"/>
    </xf>
    <xf numFmtId="41" fontId="0" fillId="0" borderId="2" xfId="1" applyFont="1" applyBorder="1">
      <alignment vertical="center"/>
    </xf>
    <xf numFmtId="41" fontId="0" fillId="3" borderId="2" xfId="1" applyFont="1" applyFill="1" applyBorder="1">
      <alignment vertical="center"/>
    </xf>
    <xf numFmtId="41" fontId="0" fillId="4" borderId="2" xfId="1" applyFont="1" applyFill="1" applyBorder="1">
      <alignment vertical="center"/>
    </xf>
    <xf numFmtId="41" fontId="0" fillId="5" borderId="2" xfId="1" applyFont="1" applyFill="1" applyBorder="1">
      <alignment vertical="center"/>
    </xf>
    <xf numFmtId="176" fontId="0" fillId="3" borderId="3" xfId="2" applyNumberFormat="1" applyFont="1" applyFill="1" applyBorder="1">
      <alignment vertical="center"/>
    </xf>
    <xf numFmtId="176" fontId="0" fillId="4" borderId="3" xfId="2" applyNumberFormat="1" applyFont="1" applyFill="1" applyBorder="1">
      <alignment vertical="center"/>
    </xf>
    <xf numFmtId="176" fontId="0" fillId="5" borderId="3" xfId="2" applyNumberFormat="1" applyFont="1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3" fillId="0" borderId="4" xfId="0" applyFont="1" applyBorder="1" applyAlignment="1">
      <alignment horizontal="left" vertical="center"/>
    </xf>
    <xf numFmtId="41" fontId="0" fillId="0" borderId="4" xfId="1" applyFont="1" applyBorder="1">
      <alignment vertical="center"/>
    </xf>
    <xf numFmtId="41" fontId="0" fillId="3" borderId="4" xfId="1" applyFont="1" applyFill="1" applyBorder="1">
      <alignment vertical="center"/>
    </xf>
    <xf numFmtId="41" fontId="0" fillId="4" borderId="4" xfId="1" applyFont="1" applyFill="1" applyBorder="1">
      <alignment vertical="center"/>
    </xf>
    <xf numFmtId="41" fontId="0" fillId="5" borderId="4" xfId="1" applyFont="1" applyFill="1" applyBorder="1">
      <alignment vertical="center"/>
    </xf>
    <xf numFmtId="0" fontId="7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38" fontId="6" fillId="0" borderId="5" xfId="0" applyNumberFormat="1" applyFont="1" applyBorder="1" applyAlignment="1" applyProtection="1">
      <alignment horizontal="left" vertical="center" indent="1"/>
      <protection locked="0"/>
    </xf>
    <xf numFmtId="0" fontId="7" fillId="0" borderId="5" xfId="0" applyFont="1" applyBorder="1" applyAlignment="1">
      <alignment horizontal="left" vertical="center"/>
    </xf>
    <xf numFmtId="176" fontId="0" fillId="0" borderId="0" xfId="0" applyNumberFormat="1">
      <alignment vertical="center"/>
    </xf>
    <xf numFmtId="41" fontId="0" fillId="6" borderId="0" xfId="1" applyFont="1" applyFill="1">
      <alignment vertical="center"/>
    </xf>
    <xf numFmtId="41" fontId="0" fillId="0" borderId="3" xfId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41" fontId="4" fillId="2" borderId="1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1" xfId="0" applyBorder="1" applyAlignment="1">
      <alignment horizontal="left" vertical="center"/>
    </xf>
    <xf numFmtId="41" fontId="0" fillId="0" borderId="1" xfId="1" applyFont="1" applyBorder="1" applyAlignment="1">
      <alignment horizontal="left" vertical="center"/>
    </xf>
    <xf numFmtId="41" fontId="0" fillId="7" borderId="1" xfId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0" fontId="25" fillId="0" borderId="0" xfId="0" applyFont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41" fontId="0" fillId="7" borderId="0" xfId="1" applyFont="1" applyFill="1">
      <alignment vertical="center"/>
    </xf>
    <xf numFmtId="3" fontId="0" fillId="7" borderId="0" xfId="0" applyNumberFormat="1" applyFill="1">
      <alignment vertical="center"/>
    </xf>
    <xf numFmtId="0" fontId="0" fillId="7" borderId="0" xfId="0" applyFill="1">
      <alignment vertical="center"/>
    </xf>
    <xf numFmtId="176" fontId="0" fillId="7" borderId="0" xfId="0" applyNumberFormat="1" applyFill="1">
      <alignment vertical="center"/>
    </xf>
    <xf numFmtId="177" fontId="0" fillId="0" borderId="1" xfId="0" applyNumberFormat="1" applyBorder="1" applyAlignment="1">
      <alignment horizontal="left" vertical="center"/>
    </xf>
    <xf numFmtId="41" fontId="0" fillId="7" borderId="1" xfId="1" applyFont="1" applyFill="1" applyBorder="1">
      <alignment vertical="center"/>
    </xf>
    <xf numFmtId="41" fontId="4" fillId="2" borderId="0" xfId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7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쉼표 [0] 2" xfId="45" xr:uid="{C49C0917-C394-4402-8C40-C01903703D86}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통화 [0] 2" xfId="46" xr:uid="{275C0E69-3CCC-470C-8E9D-1C4BA3738614}"/>
    <cellStyle name="표준" xfId="0" builtinId="0"/>
    <cellStyle name="표준 2" xfId="44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"/>
  <sheetViews>
    <sheetView topLeftCell="B1" zoomScaleNormal="100" workbookViewId="0">
      <pane ySplit="2" topLeftCell="A106" activePane="bottomLeft" state="frozen"/>
      <selection activeCell="F232" sqref="F232"/>
      <selection pane="bottomLeft" activeCell="F119" sqref="F119"/>
    </sheetView>
  </sheetViews>
  <sheetFormatPr defaultColWidth="9" defaultRowHeight="16.5" outlineLevelRow="1" outlineLevelCol="1" x14ac:dyDescent="0.3"/>
  <cols>
    <col min="3" max="3" width="10" bestFit="1" customWidth="1"/>
    <col min="4" max="4" width="37.25" style="1" bestFit="1" customWidth="1"/>
    <col min="5" max="5" width="12.375" style="2" bestFit="1" customWidth="1"/>
    <col min="6" max="6" width="11.875" style="2" bestFit="1" customWidth="1" outlineLevel="1"/>
    <col min="7" max="7" width="10.875" style="2" customWidth="1" outlineLevel="1"/>
    <col min="8" max="8" width="11.875" style="2" bestFit="1" customWidth="1" outlineLevel="1"/>
    <col min="9" max="9" width="2.25" customWidth="1" outlineLevel="1"/>
    <col min="10" max="10" width="9" style="40" customWidth="1" outlineLevel="1"/>
    <col min="11" max="11" width="13.25" style="40" customWidth="1" outlineLevel="1"/>
    <col min="12" max="12" width="12.375" style="40" bestFit="1" customWidth="1" outlineLevel="1"/>
    <col min="13" max="13" width="10" bestFit="1" customWidth="1"/>
  </cols>
  <sheetData>
    <row r="1" spans="1:21" x14ac:dyDescent="0.3">
      <c r="A1" t="s">
        <v>0</v>
      </c>
      <c r="B1" t="s">
        <v>1</v>
      </c>
      <c r="F1" s="62" t="s">
        <v>2</v>
      </c>
      <c r="G1" s="62"/>
      <c r="H1" s="62"/>
      <c r="J1" s="63" t="s">
        <v>3</v>
      </c>
      <c r="K1" s="63"/>
      <c r="L1" s="63"/>
      <c r="N1" s="64" t="s">
        <v>4</v>
      </c>
      <c r="O1" s="3" t="s">
        <v>5</v>
      </c>
      <c r="P1" s="3"/>
      <c r="R1" t="s">
        <v>6</v>
      </c>
      <c r="S1" t="s">
        <v>7</v>
      </c>
      <c r="T1" t="s">
        <v>8</v>
      </c>
      <c r="U1">
        <v>6700</v>
      </c>
    </row>
    <row r="2" spans="1:21" x14ac:dyDescent="0.3">
      <c r="A2" s="4" t="s">
        <v>9</v>
      </c>
      <c r="B2" s="4" t="s">
        <v>10</v>
      </c>
      <c r="C2" t="s">
        <v>11</v>
      </c>
      <c r="D2" s="1" t="s">
        <v>12</v>
      </c>
      <c r="E2" s="5" t="s">
        <v>306</v>
      </c>
      <c r="F2" s="6" t="s">
        <v>13</v>
      </c>
      <c r="G2" s="7" t="s">
        <v>14</v>
      </c>
      <c r="H2" s="8" t="s">
        <v>15</v>
      </c>
      <c r="J2" s="6" t="s">
        <v>13</v>
      </c>
      <c r="K2" s="7" t="s">
        <v>14</v>
      </c>
      <c r="L2" s="8" t="s">
        <v>15</v>
      </c>
      <c r="N2" s="64"/>
      <c r="O2" s="3" t="s">
        <v>16</v>
      </c>
      <c r="P2" s="3"/>
      <c r="R2" t="s">
        <v>17</v>
      </c>
    </row>
    <row r="3" spans="1:21" x14ac:dyDescent="0.3">
      <c r="A3" s="4" t="s">
        <v>18</v>
      </c>
      <c r="B3" s="9" t="s">
        <v>19</v>
      </c>
      <c r="C3" s="3" t="s">
        <v>20</v>
      </c>
      <c r="D3" s="10"/>
      <c r="E3" s="11">
        <f t="shared" ref="E3:E77" si="0">SUM(F3:H3)</f>
        <v>12216689</v>
      </c>
      <c r="F3" s="12">
        <f>SUMIFS('2월'!$I:$I,'2월'!$D:$D,C3,'2월'!$C:$C,$F$2)</f>
        <v>0</v>
      </c>
      <c r="G3" s="13">
        <f>-SUMIFS('2월'!$I:$I,'2월'!$D:$D,C3,'2월'!$C:$C,$G$2)</f>
        <v>6475664</v>
      </c>
      <c r="H3" s="14">
        <f>-SUMIFS('2월'!$I:$I,'2월'!$D:$D,C3,'2월'!$C:$C,$H$2)</f>
        <v>5741025</v>
      </c>
      <c r="J3" s="15">
        <f>IF(ISERROR(F3/$E$9),,(F3/$E$9))</f>
        <v>0</v>
      </c>
      <c r="K3" s="16">
        <f t="shared" ref="K3:L8" si="1">IF(ISERROR(G3/$E$9),,(G3/$E$9))</f>
        <v>0.34454470598425824</v>
      </c>
      <c r="L3" s="17">
        <f t="shared" si="1"/>
        <v>0.30545744354143084</v>
      </c>
    </row>
    <row r="4" spans="1:21" x14ac:dyDescent="0.3">
      <c r="A4" s="4"/>
      <c r="B4" s="9" t="s">
        <v>21</v>
      </c>
      <c r="C4" s="3" t="s">
        <v>22</v>
      </c>
      <c r="D4" s="10"/>
      <c r="E4" s="11">
        <f>SUM(E5:E7)</f>
        <v>6578155</v>
      </c>
      <c r="F4" s="12">
        <f>SUM(F5:F7)</f>
        <v>6578155</v>
      </c>
      <c r="G4" s="13">
        <f>SUM(G5:G7)</f>
        <v>0</v>
      </c>
      <c r="H4" s="14">
        <f>SUM(H5:H7)</f>
        <v>0</v>
      </c>
      <c r="J4" s="15">
        <f t="shared" ref="J4:J8" si="2">IF(ISERROR(F4/$E$9),,(F4/$E$9))</f>
        <v>0.34999785047431092</v>
      </c>
      <c r="K4" s="16">
        <f t="shared" si="1"/>
        <v>0</v>
      </c>
      <c r="L4" s="17">
        <f t="shared" si="1"/>
        <v>0</v>
      </c>
    </row>
    <row r="5" spans="1:21" ht="16.5" customHeight="1" outlineLevel="1" x14ac:dyDescent="0.3">
      <c r="A5" s="4"/>
      <c r="B5" s="9"/>
      <c r="C5" s="18" t="s">
        <v>23</v>
      </c>
      <c r="D5" s="36" t="s">
        <v>24</v>
      </c>
      <c r="E5" s="11">
        <f t="shared" si="0"/>
        <v>178155</v>
      </c>
      <c r="F5" s="12">
        <f>-SUMIFS('2월'!$I:$I,'2월'!$D:$D,C5,'2월'!$C:$C,$F$2)</f>
        <v>178155</v>
      </c>
      <c r="G5" s="13">
        <f>-SUMIFS('2월'!$I:$I,'2월'!$D:$D,C5,'2월'!$C:$C,$G$2)</f>
        <v>0</v>
      </c>
      <c r="H5" s="14">
        <f>-SUMIFS('2월'!$I:$I,'2월'!$D:$D,C5,'2월'!$C:$C,$H$2)</f>
        <v>0</v>
      </c>
      <c r="J5" s="15">
        <f t="shared" si="2"/>
        <v>9.4789294340511688E-3</v>
      </c>
      <c r="K5" s="16">
        <f t="shared" si="1"/>
        <v>0</v>
      </c>
      <c r="L5" s="17">
        <f t="shared" si="1"/>
        <v>0</v>
      </c>
    </row>
    <row r="6" spans="1:21" ht="16.5" customHeight="1" outlineLevel="1" x14ac:dyDescent="0.3">
      <c r="A6" s="4"/>
      <c r="B6" s="9"/>
      <c r="C6" s="18" t="s">
        <v>25</v>
      </c>
      <c r="D6" s="10"/>
      <c r="E6" s="11">
        <f t="shared" si="0"/>
        <v>400000</v>
      </c>
      <c r="F6" s="12">
        <f>-SUMIFS('2월'!$I:$I,'2월'!$D:$D,C6,'2월'!$C:$C,$F$2)</f>
        <v>400000</v>
      </c>
      <c r="G6" s="13">
        <f>-SUMIFS('2월'!$I:$I,'2월'!$D:$D,C6,'2월'!$C:$C,$G$2)</f>
        <v>0</v>
      </c>
      <c r="H6" s="14">
        <f>-SUMIFS('2월'!$I:$I,'2월'!$D:$D,C6,'2월'!$C:$C,$H$2)</f>
        <v>0</v>
      </c>
      <c r="J6" s="15">
        <f t="shared" si="2"/>
        <v>2.1282432565016236E-2</v>
      </c>
      <c r="K6" s="16">
        <f t="shared" si="1"/>
        <v>0</v>
      </c>
      <c r="L6" s="17">
        <f t="shared" si="1"/>
        <v>0</v>
      </c>
    </row>
    <row r="7" spans="1:21" x14ac:dyDescent="0.3">
      <c r="A7" s="4"/>
      <c r="B7" s="9"/>
      <c r="C7" s="18" t="s">
        <v>26</v>
      </c>
      <c r="D7" s="36" t="s">
        <v>27</v>
      </c>
      <c r="E7" s="11">
        <f t="shared" si="0"/>
        <v>6000000</v>
      </c>
      <c r="F7" s="12">
        <f>-SUMIFS('2월'!$I:$I,'2월'!$D:$D,C7,'2월'!$C:$C,$F$2)</f>
        <v>6000000</v>
      </c>
      <c r="G7" s="13">
        <f>-SUMIFS('2월'!$I:$I,'2월'!$D:$D,C7,'2월'!$C:$C,$G$2)</f>
        <v>0</v>
      </c>
      <c r="H7" s="14">
        <f>-SUMIFS('2월'!$I:$I,'2월'!$D:$D,C7,'2월'!$C:$C,$H$2)</f>
        <v>0</v>
      </c>
      <c r="J7" s="15">
        <f t="shared" si="2"/>
        <v>0.31923648847524355</v>
      </c>
      <c r="K7" s="16">
        <f t="shared" si="1"/>
        <v>0</v>
      </c>
      <c r="L7" s="17">
        <f t="shared" si="1"/>
        <v>0</v>
      </c>
    </row>
    <row r="8" spans="1:21" ht="17.25" thickBot="1" x14ac:dyDescent="0.35">
      <c r="A8" s="4"/>
      <c r="B8" s="19"/>
      <c r="C8" s="20"/>
      <c r="D8" s="21"/>
      <c r="E8" s="22"/>
      <c r="F8" s="23"/>
      <c r="G8" s="24"/>
      <c r="H8" s="25"/>
      <c r="J8" s="26">
        <f t="shared" si="2"/>
        <v>0</v>
      </c>
      <c r="K8" s="27">
        <f t="shared" si="1"/>
        <v>0</v>
      </c>
      <c r="L8" s="28">
        <f t="shared" si="1"/>
        <v>0</v>
      </c>
    </row>
    <row r="9" spans="1:21" ht="17.25" thickTop="1" x14ac:dyDescent="0.3">
      <c r="A9" s="4" t="s">
        <v>28</v>
      </c>
      <c r="B9" s="29"/>
      <c r="C9" s="30"/>
      <c r="D9" s="31"/>
      <c r="E9" s="32">
        <f>+E3+E4</f>
        <v>18794844</v>
      </c>
      <c r="F9" s="33">
        <f t="shared" ref="F9:H9" si="3">+F3+F4</f>
        <v>6578155</v>
      </c>
      <c r="G9" s="34">
        <f t="shared" si="3"/>
        <v>6475664</v>
      </c>
      <c r="H9" s="35">
        <f t="shared" si="3"/>
        <v>5741025</v>
      </c>
      <c r="J9" s="15"/>
      <c r="K9" s="16"/>
      <c r="L9" s="17"/>
    </row>
    <row r="10" spans="1:21" x14ac:dyDescent="0.3">
      <c r="A10" s="4"/>
      <c r="B10" s="9"/>
      <c r="C10" s="3"/>
      <c r="D10" s="10"/>
      <c r="E10" s="11"/>
      <c r="F10" s="12"/>
      <c r="G10" s="13"/>
      <c r="H10" s="14"/>
      <c r="J10" s="15">
        <f>IF(ISERROR(F10/$E$100),,(F10/$E$100))</f>
        <v>0</v>
      </c>
      <c r="K10" s="16">
        <f>IF(ISERROR(G10/$E$100),,(G10/$E$100))</f>
        <v>0</v>
      </c>
      <c r="L10" s="17">
        <f>IF(ISERROR(H10/$E$100),,(H10/$E$100))</f>
        <v>0</v>
      </c>
    </row>
    <row r="11" spans="1:21" x14ac:dyDescent="0.3">
      <c r="A11" s="4" t="s">
        <v>29</v>
      </c>
      <c r="B11" s="9" t="s">
        <v>19</v>
      </c>
      <c r="C11" s="3" t="s">
        <v>30</v>
      </c>
      <c r="D11" s="36"/>
      <c r="E11" s="11">
        <f t="shared" si="0"/>
        <v>4306930</v>
      </c>
      <c r="F11" s="12">
        <f>SUMIFS('2월'!$I:$I,'2월'!$D:$D,C11,'2월'!$C:$C,$F$2)</f>
        <v>4306930</v>
      </c>
      <c r="G11" s="13">
        <f>SUMIFS('2월'!$I:$I,'2월'!$D:$D,C11,'2월'!$C:$C,$G$2)</f>
        <v>0</v>
      </c>
      <c r="H11" s="14">
        <f>SUMIFS('2월'!$I:$I,'2월'!$D:$D,C11,'2월'!$C:$C,$H$2)</f>
        <v>0</v>
      </c>
      <c r="J11" s="15"/>
      <c r="K11" s="16"/>
      <c r="L11" s="17"/>
    </row>
    <row r="12" spans="1:21" x14ac:dyDescent="0.3">
      <c r="A12" s="4"/>
      <c r="B12" s="9"/>
      <c r="C12" s="3" t="s">
        <v>31</v>
      </c>
      <c r="D12" s="36"/>
      <c r="E12" s="11">
        <f>SUM(E13:E18)</f>
        <v>377180</v>
      </c>
      <c r="F12" s="12">
        <f t="shared" ref="F12:H12" si="4">SUM(F13:F18)</f>
        <v>377180</v>
      </c>
      <c r="G12" s="13">
        <f t="shared" si="4"/>
        <v>0</v>
      </c>
      <c r="H12" s="14">
        <f t="shared" si="4"/>
        <v>0</v>
      </c>
      <c r="J12" s="15"/>
      <c r="K12" s="16">
        <f t="shared" ref="K12:K22" si="5">IF(ISERROR(G12/$E$100),,(G12/$E$100))</f>
        <v>0</v>
      </c>
      <c r="L12" s="17">
        <f t="shared" ref="L12:L22" si="6">IF(ISERROR(H12/$E$100),,(H12/$E$100))</f>
        <v>0</v>
      </c>
    </row>
    <row r="13" spans="1:21" ht="16.5" customHeight="1" outlineLevel="1" x14ac:dyDescent="0.3">
      <c r="A13" s="4"/>
      <c r="B13" s="9"/>
      <c r="C13" s="18" t="s">
        <v>32</v>
      </c>
      <c r="D13" s="36"/>
      <c r="E13" s="11">
        <f t="shared" si="0"/>
        <v>158600</v>
      </c>
      <c r="F13" s="12">
        <f>SUMIFS('2월'!$I:$I,'2월'!$D:$D,C13,'2월'!$C:$C,$F$2)</f>
        <v>158600</v>
      </c>
      <c r="G13" s="13">
        <f>SUMIFS('2월'!$I:$I,'2월'!$D:$D,C13,'2월'!$C:$C,$G$2)</f>
        <v>0</v>
      </c>
      <c r="H13" s="14">
        <f>SUMIFS('2월'!$I:$I,'2월'!$D:$D,C13,'2월'!$C:$C,$H$2)</f>
        <v>0</v>
      </c>
      <c r="J13" s="15">
        <f t="shared" ref="J13:J22" si="7">IF(ISERROR(F13/$E$100),,(F13/$E$100))</f>
        <v>2.0757265893770437E-2</v>
      </c>
      <c r="K13" s="16">
        <f t="shared" si="5"/>
        <v>0</v>
      </c>
      <c r="L13" s="17">
        <f t="shared" si="6"/>
        <v>0</v>
      </c>
    </row>
    <row r="14" spans="1:21" ht="16.5" customHeight="1" outlineLevel="1" x14ac:dyDescent="0.3">
      <c r="A14" s="4"/>
      <c r="B14" s="9"/>
      <c r="C14" s="18" t="s">
        <v>33</v>
      </c>
      <c r="D14" s="36"/>
      <c r="E14" s="11">
        <f t="shared" si="0"/>
        <v>80320</v>
      </c>
      <c r="F14" s="12">
        <f>SUMIFS('2월'!$I:$I,'2월'!$D:$D,C14,'2월'!$C:$C,$F$2)</f>
        <v>80320</v>
      </c>
      <c r="G14" s="13">
        <f>SUMIFS('2월'!$I:$I,'2월'!$D:$D,C14,'2월'!$C:$C,$G$2)</f>
        <v>0</v>
      </c>
      <c r="H14" s="14">
        <f>SUMIFS('2월'!$I:$I,'2월'!$D:$D,C14,'2월'!$C:$C,$H$2)</f>
        <v>0</v>
      </c>
      <c r="J14" s="15">
        <f t="shared" si="7"/>
        <v>1.0512128603957387E-2</v>
      </c>
      <c r="K14" s="16">
        <f t="shared" si="5"/>
        <v>0</v>
      </c>
      <c r="L14" s="17">
        <f t="shared" si="6"/>
        <v>0</v>
      </c>
    </row>
    <row r="15" spans="1:21" ht="16.5" customHeight="1" outlineLevel="1" x14ac:dyDescent="0.3">
      <c r="A15" s="4"/>
      <c r="B15" s="9"/>
      <c r="C15" s="18" t="s">
        <v>34</v>
      </c>
      <c r="D15" s="36"/>
      <c r="E15" s="11">
        <f t="shared" si="0"/>
        <v>44760</v>
      </c>
      <c r="F15" s="12">
        <f>SUMIFS('2월'!$I:$I,'2월'!$D:$D,C15,'2월'!$C:$C,$F$2)</f>
        <v>44760</v>
      </c>
      <c r="G15" s="13">
        <f>SUMIFS('2월'!$I:$I,'2월'!$D:$D,C15,'2월'!$C:$C,$G$2)</f>
        <v>0</v>
      </c>
      <c r="H15" s="14">
        <f>SUMIFS('2월'!$I:$I,'2월'!$D:$D,C15,'2월'!$C:$C,$H$2)</f>
        <v>0</v>
      </c>
      <c r="J15" s="15">
        <f t="shared" si="7"/>
        <v>5.8581035397551372E-3</v>
      </c>
      <c r="K15" s="16">
        <f t="shared" si="5"/>
        <v>0</v>
      </c>
      <c r="L15" s="17">
        <f t="shared" si="6"/>
        <v>0</v>
      </c>
    </row>
    <row r="16" spans="1:21" ht="16.5" customHeight="1" outlineLevel="1" x14ac:dyDescent="0.3">
      <c r="A16" s="4"/>
      <c r="B16" s="9"/>
      <c r="C16" s="18" t="s">
        <v>35</v>
      </c>
      <c r="D16" s="36" t="s">
        <v>36</v>
      </c>
      <c r="E16" s="11">
        <f t="shared" si="0"/>
        <v>93500</v>
      </c>
      <c r="F16" s="12">
        <f>SUMIFS('2월'!$I:$I,'2월'!$D:$D,C16,'2월'!$C:$C,$F$2)</f>
        <v>93500</v>
      </c>
      <c r="G16" s="13">
        <f>SUMIFS('2월'!$I:$I,'2월'!$D:$D,C16,'2월'!$C:$C,$G$2)</f>
        <v>0</v>
      </c>
      <c r="H16" s="14">
        <f>SUMIFS('2월'!$I:$I,'2월'!$D:$D,C16,'2월'!$C:$C,$H$2)</f>
        <v>0</v>
      </c>
      <c r="J16" s="15">
        <f t="shared" si="7"/>
        <v>1.2237101898282069E-2</v>
      </c>
      <c r="K16" s="16">
        <f t="shared" si="5"/>
        <v>0</v>
      </c>
      <c r="L16" s="17">
        <f t="shared" si="6"/>
        <v>0</v>
      </c>
    </row>
    <row r="17" spans="1:12" ht="16.5" customHeight="1" outlineLevel="1" x14ac:dyDescent="0.3">
      <c r="A17" s="4"/>
      <c r="B17" s="9"/>
      <c r="C17" s="18" t="s">
        <v>37</v>
      </c>
      <c r="D17" s="36"/>
      <c r="E17" s="11">
        <f t="shared" si="0"/>
        <v>0</v>
      </c>
      <c r="F17" s="12">
        <f>SUMIFS('2월'!$I:$I,'2월'!$D:$D,C17,'2월'!$C:$C,$F$2)</f>
        <v>0</v>
      </c>
      <c r="G17" s="13">
        <f>SUMIFS('2월'!$I:$I,'2월'!$D:$D,C17,'2월'!$C:$C,$G$2)</f>
        <v>0</v>
      </c>
      <c r="H17" s="14">
        <f>SUMIFS('2월'!$I:$I,'2월'!$D:$D,C17,'2월'!$C:$C,$H$2)</f>
        <v>0</v>
      </c>
      <c r="J17" s="15">
        <f t="shared" si="7"/>
        <v>0</v>
      </c>
      <c r="K17" s="16">
        <f t="shared" si="5"/>
        <v>0</v>
      </c>
      <c r="L17" s="17">
        <f t="shared" si="6"/>
        <v>0</v>
      </c>
    </row>
    <row r="18" spans="1:12" ht="16.5" customHeight="1" outlineLevel="1" x14ac:dyDescent="0.3">
      <c r="A18" s="4"/>
      <c r="B18" s="9"/>
      <c r="C18" s="18" t="s">
        <v>38</v>
      </c>
      <c r="D18" s="36" t="s">
        <v>39</v>
      </c>
      <c r="E18" s="11">
        <f t="shared" si="0"/>
        <v>0</v>
      </c>
      <c r="F18" s="12">
        <f>SUMIFS('2월'!$I:$I,'2월'!$D:$D,C18,'2월'!$C:$C,$F$2)</f>
        <v>0</v>
      </c>
      <c r="G18" s="13">
        <f>SUMIFS('2월'!$I:$I,'2월'!$D:$D,C18,'2월'!$C:$C,$G$2)</f>
        <v>0</v>
      </c>
      <c r="H18" s="14">
        <f>SUMIFS('2월'!$I:$I,'2월'!$D:$D,C18,'2월'!$C:$C,$H$2)</f>
        <v>0</v>
      </c>
      <c r="J18" s="15">
        <f t="shared" si="7"/>
        <v>0</v>
      </c>
      <c r="K18" s="16">
        <f t="shared" si="5"/>
        <v>0</v>
      </c>
      <c r="L18" s="17">
        <f t="shared" si="6"/>
        <v>0</v>
      </c>
    </row>
    <row r="19" spans="1:12" x14ac:dyDescent="0.3">
      <c r="A19" s="4"/>
      <c r="B19" s="9"/>
      <c r="C19" s="3"/>
      <c r="D19" s="36"/>
      <c r="E19" s="11"/>
      <c r="F19" s="12"/>
      <c r="G19" s="13"/>
      <c r="H19" s="14"/>
      <c r="J19" s="15">
        <f t="shared" si="7"/>
        <v>0</v>
      </c>
      <c r="K19" s="16">
        <f t="shared" si="5"/>
        <v>0</v>
      </c>
      <c r="L19" s="17">
        <f t="shared" si="6"/>
        <v>0</v>
      </c>
    </row>
    <row r="20" spans="1:12" x14ac:dyDescent="0.3">
      <c r="A20" s="4"/>
      <c r="B20" s="9"/>
      <c r="C20" s="3" t="s">
        <v>40</v>
      </c>
      <c r="D20" s="36"/>
      <c r="E20" s="11">
        <f t="shared" si="0"/>
        <v>0</v>
      </c>
      <c r="F20" s="12">
        <f>SUMIFS('2월'!$I:$I,'2월'!$D:$D,C20,'2월'!$C:$C,$F$2)</f>
        <v>0</v>
      </c>
      <c r="G20" s="13">
        <f>SUMIFS('2월'!$I:$I,'2월'!$D:$D,C20,'2월'!$C:$C,$G$2)</f>
        <v>0</v>
      </c>
      <c r="H20" s="14">
        <f>SUMIFS('2월'!$I:$I,'2월'!$D:$D,C20,'2월'!$C:$C,$H$2)</f>
        <v>0</v>
      </c>
      <c r="J20" s="15">
        <f t="shared" si="7"/>
        <v>0</v>
      </c>
      <c r="K20" s="16">
        <f t="shared" si="5"/>
        <v>0</v>
      </c>
      <c r="L20" s="17">
        <f t="shared" si="6"/>
        <v>0</v>
      </c>
    </row>
    <row r="21" spans="1:12" x14ac:dyDescent="0.3">
      <c r="A21" s="4"/>
      <c r="B21" s="9"/>
      <c r="C21" s="3" t="s">
        <v>41</v>
      </c>
      <c r="D21" s="36"/>
      <c r="E21" s="11">
        <f t="shared" si="0"/>
        <v>215020</v>
      </c>
      <c r="F21" s="12">
        <f>SUMIFS('2월'!$I:$I,'2월'!$D:$D,C21,'2월'!$C:$C,$F$2)</f>
        <v>215020</v>
      </c>
      <c r="G21" s="13">
        <f>SUMIFS('2월'!$I:$I,'2월'!$D:$D,C21,'2월'!$C:$C,$G$2)</f>
        <v>0</v>
      </c>
      <c r="H21" s="14">
        <f>SUMIFS('2월'!$I:$I,'2월'!$D:$D,C21,'2월'!$C:$C,$H$2)</f>
        <v>0</v>
      </c>
      <c r="J21" s="15">
        <f t="shared" si="7"/>
        <v>2.8141408023193693E-2</v>
      </c>
      <c r="K21" s="16">
        <f t="shared" si="5"/>
        <v>0</v>
      </c>
      <c r="L21" s="17">
        <f t="shared" si="6"/>
        <v>0</v>
      </c>
    </row>
    <row r="22" spans="1:12" x14ac:dyDescent="0.3">
      <c r="A22" s="4"/>
      <c r="B22" s="9"/>
      <c r="C22" s="3"/>
      <c r="D22" s="36"/>
      <c r="E22" s="11"/>
      <c r="F22" s="12"/>
      <c r="G22" s="13"/>
      <c r="H22" s="14"/>
      <c r="J22" s="15">
        <f t="shared" si="7"/>
        <v>0</v>
      </c>
      <c r="K22" s="16">
        <f t="shared" si="5"/>
        <v>0</v>
      </c>
      <c r="L22" s="17">
        <f t="shared" si="6"/>
        <v>0</v>
      </c>
    </row>
    <row r="23" spans="1:12" x14ac:dyDescent="0.3">
      <c r="A23" s="4"/>
      <c r="B23" s="9"/>
      <c r="C23" s="3" t="s">
        <v>42</v>
      </c>
      <c r="D23" s="36"/>
      <c r="E23" s="11">
        <f>SUM(E24:E26)</f>
        <v>0</v>
      </c>
      <c r="F23" s="12">
        <f t="shared" ref="F23:H23" si="8">SUM(F24:F26)</f>
        <v>0</v>
      </c>
      <c r="G23" s="13">
        <f t="shared" si="8"/>
        <v>0</v>
      </c>
      <c r="H23" s="14">
        <f t="shared" si="8"/>
        <v>0</v>
      </c>
      <c r="J23" s="15"/>
      <c r="K23" s="16"/>
      <c r="L23" s="17"/>
    </row>
    <row r="24" spans="1:12" outlineLevel="1" x14ac:dyDescent="0.3">
      <c r="A24" s="4"/>
      <c r="B24" s="9"/>
      <c r="C24" s="18" t="s">
        <v>43</v>
      </c>
      <c r="D24" s="36"/>
      <c r="E24" s="11">
        <f t="shared" ref="E24:E26" si="9">SUM(F24:H24)</f>
        <v>0</v>
      </c>
      <c r="F24" s="12">
        <f>SUMIFS('2월'!$I:$I,'2월'!$D:$D,C24,'2월'!$C:$C,$F$2)</f>
        <v>0</v>
      </c>
      <c r="G24" s="13">
        <f>SUMIFS('2월'!$I:$I,'2월'!$D:$D,C24,'2월'!$C:$C,$G$2)</f>
        <v>0</v>
      </c>
      <c r="H24" s="14">
        <f>SUMIFS('2월'!$I:$I,'2월'!$D:$D,C24,'2월'!$C:$C,$H$2)</f>
        <v>0</v>
      </c>
      <c r="J24" s="15">
        <f t="shared" ref="J24:L29" si="10">IF(ISERROR(F24/$E$100),,(F24/$E$100))</f>
        <v>0</v>
      </c>
      <c r="K24" s="16">
        <f t="shared" si="10"/>
        <v>0</v>
      </c>
      <c r="L24" s="17">
        <f t="shared" si="10"/>
        <v>0</v>
      </c>
    </row>
    <row r="25" spans="1:12" outlineLevel="1" x14ac:dyDescent="0.3">
      <c r="A25" s="4"/>
      <c r="B25" s="9"/>
      <c r="C25" s="18" t="s">
        <v>44</v>
      </c>
      <c r="D25" s="36"/>
      <c r="E25" s="11">
        <f t="shared" si="9"/>
        <v>0</v>
      </c>
      <c r="F25" s="12">
        <f>SUMIFS('2월'!$I:$I,'2월'!$D:$D,C25,'2월'!$C:$C,$F$2)</f>
        <v>0</v>
      </c>
      <c r="G25" s="13">
        <f>SUMIFS('2월'!$I:$I,'2월'!$D:$D,C25,'2월'!$C:$C,$G$2)</f>
        <v>0</v>
      </c>
      <c r="H25" s="14">
        <f>SUMIFS('2월'!$I:$I,'2월'!$D:$D,C25,'2월'!$C:$C,$H$2)</f>
        <v>0</v>
      </c>
      <c r="J25" s="15">
        <f t="shared" si="10"/>
        <v>0</v>
      </c>
      <c r="K25" s="16">
        <f t="shared" si="10"/>
        <v>0</v>
      </c>
      <c r="L25" s="17">
        <f t="shared" si="10"/>
        <v>0</v>
      </c>
    </row>
    <row r="26" spans="1:12" outlineLevel="1" x14ac:dyDescent="0.3">
      <c r="A26" s="4"/>
      <c r="B26" s="9"/>
      <c r="C26" s="18" t="s">
        <v>45</v>
      </c>
      <c r="D26" s="36"/>
      <c r="E26" s="11">
        <f t="shared" si="9"/>
        <v>0</v>
      </c>
      <c r="F26" s="12">
        <f>SUMIFS('2월'!$I:$I,'2월'!$D:$D,C26,'2월'!$C:$C,$F$2)</f>
        <v>0</v>
      </c>
      <c r="G26" s="13">
        <f>SUMIFS('2월'!$I:$I,'2월'!$D:$D,C26,'2월'!$C:$C,$G$2)</f>
        <v>0</v>
      </c>
      <c r="H26" s="14">
        <f>SUMIFS('2월'!$I:$I,'2월'!$D:$D,C26,'2월'!$C:$C,$H$2)</f>
        <v>0</v>
      </c>
      <c r="J26" s="15">
        <f t="shared" si="10"/>
        <v>0</v>
      </c>
      <c r="K26" s="16">
        <f t="shared" si="10"/>
        <v>0</v>
      </c>
      <c r="L26" s="17">
        <f t="shared" si="10"/>
        <v>0</v>
      </c>
    </row>
    <row r="27" spans="1:12" x14ac:dyDescent="0.3">
      <c r="A27" s="4"/>
      <c r="B27" s="9"/>
      <c r="C27" s="3"/>
      <c r="D27" s="36"/>
      <c r="E27" s="11">
        <f t="shared" si="0"/>
        <v>0</v>
      </c>
      <c r="F27" s="12">
        <f>SUMIFS('2월'!$I:$I,'2월'!$D:$D,C27,'2월'!$C:$C,$F$2)</f>
        <v>0</v>
      </c>
      <c r="G27" s="13">
        <f>SUMIFS('2월'!$I:$I,'2월'!$D:$D,C27,'2월'!$C:$C,$G$2)</f>
        <v>0</v>
      </c>
      <c r="H27" s="14">
        <f>SUMIFS('2월'!$I:$I,'2월'!$D:$D,C27,'2월'!$C:$C,$H$2)</f>
        <v>0</v>
      </c>
      <c r="J27" s="15">
        <f t="shared" si="10"/>
        <v>0</v>
      </c>
      <c r="K27" s="16">
        <f t="shared" si="10"/>
        <v>0</v>
      </c>
      <c r="L27" s="17">
        <f t="shared" si="10"/>
        <v>0</v>
      </c>
    </row>
    <row r="28" spans="1:12" x14ac:dyDescent="0.3">
      <c r="A28" s="4"/>
      <c r="B28" s="9"/>
      <c r="C28" s="3" t="s">
        <v>46</v>
      </c>
      <c r="D28" s="36"/>
      <c r="E28" s="11">
        <f t="shared" ref="E28" si="11">SUM(F28:H28)</f>
        <v>-258363</v>
      </c>
      <c r="F28" s="12">
        <f>SUMIFS('2월'!$I:$I,'2월'!$D:$D,C28,'2월'!$C:$C,$F$2)</f>
        <v>0</v>
      </c>
      <c r="G28" s="13">
        <f>SUMIFS('2월'!$I:$I,'2월'!$D:$D,C28,'2월'!$C:$C,$G$2)</f>
        <v>0</v>
      </c>
      <c r="H28" s="14">
        <f>SUMIFS('2월'!$I:$I,'2월'!$D:$D,C28,'2월'!$C:$C,$H$2)</f>
        <v>-258363</v>
      </c>
      <c r="J28" s="15">
        <f t="shared" si="10"/>
        <v>0</v>
      </c>
      <c r="K28" s="16">
        <f t="shared" si="10"/>
        <v>0</v>
      </c>
      <c r="L28" s="17">
        <f t="shared" si="10"/>
        <v>-3.3814057302094649E-2</v>
      </c>
    </row>
    <row r="29" spans="1:12" x14ac:dyDescent="0.3">
      <c r="A29" s="4"/>
      <c r="B29" s="9"/>
      <c r="C29" s="3"/>
      <c r="D29" s="36"/>
      <c r="E29" s="11"/>
      <c r="F29" s="12"/>
      <c r="G29" s="13"/>
      <c r="H29" s="14"/>
      <c r="J29" s="15">
        <f t="shared" si="10"/>
        <v>0</v>
      </c>
      <c r="K29" s="16">
        <f t="shared" si="10"/>
        <v>0</v>
      </c>
      <c r="L29" s="17">
        <f t="shared" si="10"/>
        <v>0</v>
      </c>
    </row>
    <row r="30" spans="1:12" x14ac:dyDescent="0.3">
      <c r="A30" s="4"/>
      <c r="B30" s="9"/>
      <c r="C30" s="3" t="s">
        <v>47</v>
      </c>
      <c r="D30" s="36"/>
      <c r="E30" s="11">
        <f>SUM(E31:E32)</f>
        <v>111295</v>
      </c>
      <c r="F30" s="12">
        <f t="shared" ref="F30:H30" si="12">SUM(F31:F32)</f>
        <v>31350</v>
      </c>
      <c r="G30" s="13">
        <f t="shared" si="12"/>
        <v>28220</v>
      </c>
      <c r="H30" s="14">
        <f t="shared" si="12"/>
        <v>51725</v>
      </c>
      <c r="J30" s="15"/>
      <c r="K30" s="16"/>
      <c r="L30" s="17"/>
    </row>
    <row r="31" spans="1:12" ht="16.5" customHeight="1" outlineLevel="1" x14ac:dyDescent="0.3">
      <c r="A31" s="4"/>
      <c r="B31" s="9"/>
      <c r="C31" s="18" t="s">
        <v>48</v>
      </c>
      <c r="D31" s="36"/>
      <c r="E31" s="11">
        <f t="shared" si="0"/>
        <v>79945</v>
      </c>
      <c r="F31" s="12">
        <f>SUMIFS('2월'!$I:$I,'2월'!$D:$D,C31,'2월'!$C:$C,$F$2)</f>
        <v>0</v>
      </c>
      <c r="G31" s="13">
        <f>SUMIFS('2월'!$I:$I,'2월'!$D:$D,C31,'2월'!$C:$C,$G$2)</f>
        <v>28220</v>
      </c>
      <c r="H31" s="14">
        <f>SUMIFS('2월'!$I:$I,'2월'!$D:$D,C31,'2월'!$C:$C,$H$2)</f>
        <v>51725</v>
      </c>
      <c r="J31" s="15">
        <f t="shared" ref="J31:L33" si="13">IF(ISERROR(F31/$E$100),,(F31/$E$100))</f>
        <v>0</v>
      </c>
      <c r="K31" s="16">
        <f t="shared" si="13"/>
        <v>3.6933798456633151E-3</v>
      </c>
      <c r="L31" s="17">
        <f t="shared" si="13"/>
        <v>6.7696694726057747E-3</v>
      </c>
    </row>
    <row r="32" spans="1:12" ht="16.5" customHeight="1" outlineLevel="1" x14ac:dyDescent="0.3">
      <c r="A32" s="4"/>
      <c r="B32" s="9"/>
      <c r="C32" s="18" t="s">
        <v>49</v>
      </c>
      <c r="D32" s="36"/>
      <c r="E32" s="11">
        <f t="shared" si="0"/>
        <v>31350</v>
      </c>
      <c r="F32" s="12">
        <f>SUMIFS('2월'!$I:$I,'2월'!$D:$D,C32,'2월'!$C:$C,$F$2)</f>
        <v>31350</v>
      </c>
      <c r="G32" s="13">
        <f>SUMIFS('2월'!$I:$I,'2월'!$D:$D,C32,'2월'!$C:$C,$G$2)</f>
        <v>0</v>
      </c>
      <c r="H32" s="14">
        <f>SUMIFS('2월'!$I:$I,'2월'!$D:$D,C32,'2월'!$C:$C,$H$2)</f>
        <v>0</v>
      </c>
      <c r="J32" s="15">
        <f t="shared" si="13"/>
        <v>4.1030282835416345E-3</v>
      </c>
      <c r="K32" s="16">
        <f t="shared" si="13"/>
        <v>0</v>
      </c>
      <c r="L32" s="17">
        <f t="shared" si="13"/>
        <v>0</v>
      </c>
    </row>
    <row r="33" spans="1:12" x14ac:dyDescent="0.3">
      <c r="A33" s="4"/>
      <c r="B33" s="9"/>
      <c r="C33" s="3"/>
      <c r="D33" s="36"/>
      <c r="E33" s="11">
        <f t="shared" si="0"/>
        <v>0</v>
      </c>
      <c r="F33" s="12">
        <f>SUMIFS('2월'!$I:$I,'2월'!$D:$D,C33,'2월'!$C:$C,$F$2)</f>
        <v>0</v>
      </c>
      <c r="G33" s="13">
        <f>SUMIFS('2월'!$I:$I,'2월'!$D:$D,C33,'2월'!$C:$C,$G$2)</f>
        <v>0</v>
      </c>
      <c r="H33" s="14">
        <f>SUMIFS('2월'!$I:$I,'2월'!$D:$D,C33,'2월'!$C:$C,$H$2)</f>
        <v>0</v>
      </c>
      <c r="J33" s="15">
        <f t="shared" si="13"/>
        <v>0</v>
      </c>
      <c r="K33" s="16">
        <f t="shared" si="13"/>
        <v>0</v>
      </c>
      <c r="L33" s="17">
        <f t="shared" si="13"/>
        <v>0</v>
      </c>
    </row>
    <row r="34" spans="1:12" x14ac:dyDescent="0.3">
      <c r="A34" s="4"/>
      <c r="B34" s="9"/>
      <c r="C34" s="3" t="s">
        <v>50</v>
      </c>
      <c r="D34" s="36"/>
      <c r="E34" s="11">
        <f>SUM(E35:E37)</f>
        <v>232800</v>
      </c>
      <c r="F34" s="12">
        <f t="shared" ref="F34:H34" si="14">SUM(F35:F37)</f>
        <v>232800</v>
      </c>
      <c r="G34" s="13">
        <f t="shared" si="14"/>
        <v>0</v>
      </c>
      <c r="H34" s="14">
        <f t="shared" si="14"/>
        <v>0</v>
      </c>
      <c r="J34" s="15"/>
      <c r="K34" s="16"/>
      <c r="L34" s="17"/>
    </row>
    <row r="35" spans="1:12" ht="16.5" customHeight="1" outlineLevel="1" x14ac:dyDescent="0.3">
      <c r="A35" s="4"/>
      <c r="B35" s="9"/>
      <c r="C35" s="18" t="s">
        <v>51</v>
      </c>
      <c r="D35" s="36" t="s">
        <v>52</v>
      </c>
      <c r="E35" s="11">
        <f t="shared" si="0"/>
        <v>219200</v>
      </c>
      <c r="F35" s="12">
        <f>SUMIFS('2월'!$I:$I,'2월'!$D:$D,C35,'2월'!$C:$C,$F$2)</f>
        <v>219200</v>
      </c>
      <c r="G35" s="13">
        <f>SUMIFS('2월'!$I:$I,'2월'!$D:$D,C35,'2월'!$C:$C,$G$2)</f>
        <v>0</v>
      </c>
      <c r="H35" s="14">
        <f>SUMIFS('2월'!$I:$I,'2월'!$D:$D,C35,'2월'!$C:$C,$H$2)</f>
        <v>0</v>
      </c>
      <c r="J35" s="15">
        <f t="shared" ref="J35:J43" si="15">IF(ISERROR(F35/$E$100),,(F35/$E$100))</f>
        <v>2.8688478460999242E-2</v>
      </c>
      <c r="K35" s="16">
        <f t="shared" ref="K35:K43" si="16">IF(ISERROR(G35/$E$100),,(G35/$E$100))</f>
        <v>0</v>
      </c>
      <c r="L35" s="17">
        <f t="shared" ref="L35:L43" si="17">IF(ISERROR(H35/$E$100),,(H35/$E$100))</f>
        <v>0</v>
      </c>
    </row>
    <row r="36" spans="1:12" ht="16.5" customHeight="1" outlineLevel="1" x14ac:dyDescent="0.3">
      <c r="A36" s="4"/>
      <c r="B36" s="9"/>
      <c r="C36" s="18" t="s">
        <v>53</v>
      </c>
      <c r="D36" s="36"/>
      <c r="E36" s="11">
        <f t="shared" si="0"/>
        <v>13600</v>
      </c>
      <c r="F36" s="12">
        <f>SUMIFS('2월'!$I:$I,'2월'!$D:$D,C36,'2월'!$C:$C,$F$2)</f>
        <v>13600</v>
      </c>
      <c r="G36" s="13">
        <f>SUMIFS('2월'!$I:$I,'2월'!$D:$D,C36,'2월'!$C:$C,$G$2)</f>
        <v>0</v>
      </c>
      <c r="H36" s="14">
        <f>SUMIFS('2월'!$I:$I,'2월'!$D:$D,C36,'2월'!$C:$C,$H$2)</f>
        <v>0</v>
      </c>
      <c r="J36" s="15">
        <f t="shared" si="15"/>
        <v>1.7799420942955736E-3</v>
      </c>
      <c r="K36" s="16">
        <f t="shared" si="16"/>
        <v>0</v>
      </c>
      <c r="L36" s="17">
        <f t="shared" si="17"/>
        <v>0</v>
      </c>
    </row>
    <row r="37" spans="1:12" ht="16.5" customHeight="1" outlineLevel="1" x14ac:dyDescent="0.3">
      <c r="A37" s="4"/>
      <c r="B37" s="9"/>
      <c r="C37" s="18" t="s">
        <v>54</v>
      </c>
      <c r="D37" s="36" t="s">
        <v>55</v>
      </c>
      <c r="E37" s="11">
        <f t="shared" si="0"/>
        <v>0</v>
      </c>
      <c r="F37" s="12">
        <f>SUMIFS('2월'!$I:$I,'2월'!$D:$D,C37,'2월'!$C:$C,$F$2)</f>
        <v>0</v>
      </c>
      <c r="G37" s="13">
        <f>SUMIFS('2월'!$I:$I,'2월'!$D:$D,C37,'2월'!$C:$C,$G$2)</f>
        <v>0</v>
      </c>
      <c r="H37" s="14">
        <f>SUMIFS('2월'!$I:$I,'2월'!$D:$D,C37,'2월'!$C:$C,$H$2)</f>
        <v>0</v>
      </c>
      <c r="J37" s="15">
        <f t="shared" si="15"/>
        <v>0</v>
      </c>
      <c r="K37" s="16">
        <f t="shared" si="16"/>
        <v>0</v>
      </c>
      <c r="L37" s="17">
        <f t="shared" si="17"/>
        <v>0</v>
      </c>
    </row>
    <row r="38" spans="1:12" x14ac:dyDescent="0.3">
      <c r="A38" s="4"/>
      <c r="B38" s="9"/>
      <c r="C38" s="3"/>
      <c r="D38" s="36"/>
      <c r="E38" s="11"/>
      <c r="F38" s="12"/>
      <c r="G38" s="13"/>
      <c r="H38" s="14"/>
      <c r="J38" s="15">
        <f t="shared" si="15"/>
        <v>0</v>
      </c>
      <c r="K38" s="16">
        <f t="shared" si="16"/>
        <v>0</v>
      </c>
      <c r="L38" s="17">
        <f t="shared" si="17"/>
        <v>0</v>
      </c>
    </row>
    <row r="39" spans="1:12" x14ac:dyDescent="0.3">
      <c r="A39" s="4"/>
      <c r="B39" s="9"/>
      <c r="C39" s="3" t="s">
        <v>56</v>
      </c>
      <c r="D39" s="36" t="s">
        <v>57</v>
      </c>
      <c r="E39" s="11">
        <f t="shared" si="0"/>
        <v>0</v>
      </c>
      <c r="F39" s="12">
        <f>SUMIFS('2월'!$I:$I,'2월'!$D:$D,C39,'2월'!$C:$C,$F$2)</f>
        <v>0</v>
      </c>
      <c r="G39" s="13">
        <f>SUMIFS('2월'!$I:$I,'2월'!$D:$D,C39,'2월'!$C:$C,$G$2)</f>
        <v>0</v>
      </c>
      <c r="H39" s="14">
        <f>SUMIFS('2월'!$I:$I,'2월'!$D:$D,C39,'2월'!$C:$C,$H$2)</f>
        <v>0</v>
      </c>
      <c r="J39" s="15">
        <f t="shared" si="15"/>
        <v>0</v>
      </c>
      <c r="K39" s="16">
        <f t="shared" si="16"/>
        <v>0</v>
      </c>
      <c r="L39" s="17">
        <f t="shared" si="17"/>
        <v>0</v>
      </c>
    </row>
    <row r="40" spans="1:12" x14ac:dyDescent="0.3">
      <c r="A40" s="4"/>
      <c r="B40" s="9"/>
      <c r="C40" s="3"/>
      <c r="D40" s="36"/>
      <c r="E40" s="11"/>
      <c r="F40" s="12"/>
      <c r="G40" s="13"/>
      <c r="H40" s="14"/>
      <c r="J40" s="15">
        <f t="shared" si="15"/>
        <v>0</v>
      </c>
      <c r="K40" s="16">
        <f t="shared" si="16"/>
        <v>0</v>
      </c>
      <c r="L40" s="17">
        <f t="shared" si="17"/>
        <v>0</v>
      </c>
    </row>
    <row r="41" spans="1:12" x14ac:dyDescent="0.3">
      <c r="A41" s="4"/>
      <c r="B41" s="9"/>
      <c r="C41" s="3" t="s">
        <v>58</v>
      </c>
      <c r="D41" s="36" t="s">
        <v>59</v>
      </c>
      <c r="E41" s="11">
        <f t="shared" ref="E41" si="18">SUM(F41:H41)</f>
        <v>30730</v>
      </c>
      <c r="F41" s="12">
        <f>SUMIFS('2월'!$I:$I,'2월'!$D:$D,C41,'2월'!$C:$C,$F$2)</f>
        <v>30730</v>
      </c>
      <c r="G41" s="13">
        <f>SUMIFS('2월'!$I:$I,'2월'!$D:$D,C41,'2월'!$C:$C,$G$2)</f>
        <v>0</v>
      </c>
      <c r="H41" s="14">
        <f>SUMIFS('2월'!$I:$I,'2월'!$D:$D,C41,'2월'!$C:$C,$H$2)</f>
        <v>0</v>
      </c>
      <c r="J41" s="15">
        <f t="shared" si="15"/>
        <v>4.0218838645369832E-3</v>
      </c>
      <c r="K41" s="16">
        <f t="shared" si="16"/>
        <v>0</v>
      </c>
      <c r="L41" s="17">
        <f t="shared" si="17"/>
        <v>0</v>
      </c>
    </row>
    <row r="42" spans="1:12" x14ac:dyDescent="0.3">
      <c r="A42" s="4"/>
      <c r="B42" s="9"/>
      <c r="C42" s="3"/>
      <c r="D42" s="36"/>
      <c r="E42" s="11"/>
      <c r="F42" s="12"/>
      <c r="G42" s="13"/>
      <c r="H42" s="14"/>
      <c r="J42" s="15">
        <f t="shared" si="15"/>
        <v>0</v>
      </c>
      <c r="K42" s="16">
        <f t="shared" si="16"/>
        <v>0</v>
      </c>
      <c r="L42" s="17">
        <f t="shared" si="17"/>
        <v>0</v>
      </c>
    </row>
    <row r="43" spans="1:12" ht="16.5" customHeight="1" x14ac:dyDescent="0.3">
      <c r="A43" s="4"/>
      <c r="B43" s="9"/>
      <c r="C43" s="3"/>
      <c r="D43" s="36"/>
      <c r="E43" s="11">
        <f t="shared" si="0"/>
        <v>0</v>
      </c>
      <c r="F43" s="12">
        <f>SUMIFS('2월'!$I:$I,'2월'!$D:$D,C43,'2월'!$C:$C,$F$2)</f>
        <v>0</v>
      </c>
      <c r="G43" s="13">
        <f>SUMIFS('2월'!$I:$I,'2월'!$D:$D,C43,'2월'!$C:$C,$G$2)</f>
        <v>0</v>
      </c>
      <c r="H43" s="14">
        <f>SUMIFS('2월'!$I:$I,'2월'!$D:$D,C43,'2월'!$C:$C,$H$2)</f>
        <v>0</v>
      </c>
      <c r="J43" s="15">
        <f t="shared" si="15"/>
        <v>0</v>
      </c>
      <c r="K43" s="16">
        <f t="shared" si="16"/>
        <v>0</v>
      </c>
      <c r="L43" s="17">
        <f t="shared" si="17"/>
        <v>0</v>
      </c>
    </row>
    <row r="44" spans="1:12" ht="16.5" customHeight="1" x14ac:dyDescent="0.3">
      <c r="A44" s="4"/>
      <c r="B44" s="9" t="s">
        <v>21</v>
      </c>
      <c r="C44" s="3" t="s">
        <v>60</v>
      </c>
      <c r="D44" s="36"/>
      <c r="E44" s="11">
        <f>SUM(E45:E55)</f>
        <v>1721696</v>
      </c>
      <c r="F44" s="12">
        <f t="shared" ref="F44:H44" si="19">SUM(F45:F55)</f>
        <v>1171316</v>
      </c>
      <c r="G44" s="13">
        <f t="shared" si="19"/>
        <v>226500</v>
      </c>
      <c r="H44" s="14">
        <f t="shared" si="19"/>
        <v>323880</v>
      </c>
      <c r="J44" s="15"/>
      <c r="K44" s="16"/>
      <c r="L44" s="17"/>
    </row>
    <row r="45" spans="1:12" ht="16.5" customHeight="1" outlineLevel="1" x14ac:dyDescent="0.3">
      <c r="A45" s="4"/>
      <c r="B45" s="9"/>
      <c r="C45" s="18" t="s">
        <v>61</v>
      </c>
      <c r="D45" s="36"/>
      <c r="E45" s="11">
        <f t="shared" si="0"/>
        <v>101800</v>
      </c>
      <c r="F45" s="12">
        <f>SUMIFS('2월'!$I:$I,'2월'!$D:$D,C45,'2월'!$C:$C,$F$2)</f>
        <v>0</v>
      </c>
      <c r="G45" s="13">
        <f>SUMIFS('2월'!$I:$I,'2월'!$D:$D,C45,'2월'!$C:$C,$G$2)</f>
        <v>5700</v>
      </c>
      <c r="H45" s="14">
        <f>SUMIFS('2월'!$I:$I,'2월'!$D:$D,C45,'2월'!$C:$C,$H$2)</f>
        <v>96100</v>
      </c>
      <c r="J45" s="15">
        <f t="shared" ref="J45:J56" si="20">IF(ISERROR(F45/$E$100),,(F45/$E$100))</f>
        <v>0</v>
      </c>
      <c r="K45" s="16">
        <f t="shared" ref="K45:K56" si="21">IF(ISERROR(G45/$E$100),,(G45/$E$100))</f>
        <v>7.4600514246211534E-4</v>
      </c>
      <c r="L45" s="17">
        <f t="shared" ref="L45:L56" si="22">IF(ISERROR(H45/$E$100),,(H45/$E$100))</f>
        <v>1.2577384945720927E-2</v>
      </c>
    </row>
    <row r="46" spans="1:12" ht="16.5" customHeight="1" outlineLevel="1" x14ac:dyDescent="0.3">
      <c r="A46" s="4"/>
      <c r="B46" s="9"/>
      <c r="C46" s="18" t="s">
        <v>62</v>
      </c>
      <c r="D46" s="36"/>
      <c r="E46" s="11">
        <f t="shared" si="0"/>
        <v>122700</v>
      </c>
      <c r="F46" s="12">
        <f>SUMIFS('2월'!$I:$I,'2월'!$D:$D,C46,'2월'!$C:$C,$F$2)</f>
        <v>28700</v>
      </c>
      <c r="G46" s="13">
        <f>SUMIFS('2월'!$I:$I,'2월'!$D:$D,C46,'2월'!$C:$C,$G$2)</f>
        <v>54200</v>
      </c>
      <c r="H46" s="14">
        <f>SUMIFS('2월'!$I:$I,'2월'!$D:$D,C46,'2월'!$C:$C,$H$2)</f>
        <v>39800</v>
      </c>
      <c r="J46" s="15">
        <f t="shared" si="20"/>
        <v>3.7562013313443355E-3</v>
      </c>
      <c r="K46" s="16">
        <f t="shared" si="21"/>
        <v>7.0935927581485354E-3</v>
      </c>
      <c r="L46" s="17">
        <f t="shared" si="22"/>
        <v>5.2089481877179286E-3</v>
      </c>
    </row>
    <row r="47" spans="1:12" ht="16.5" customHeight="1" outlineLevel="1" x14ac:dyDescent="0.3">
      <c r="A47" s="4"/>
      <c r="B47" s="9"/>
      <c r="C47" s="18" t="s">
        <v>63</v>
      </c>
      <c r="D47" s="36"/>
      <c r="E47" s="11">
        <f t="shared" si="0"/>
        <v>36050</v>
      </c>
      <c r="F47" s="12">
        <f>SUMIFS('2월'!$I:$I,'2월'!$D:$D,C47,'2월'!$C:$C,$F$2)</f>
        <v>6150</v>
      </c>
      <c r="G47" s="13">
        <f>SUMIFS('2월'!$I:$I,'2월'!$D:$D,C47,'2월'!$C:$C,$G$2)</f>
        <v>0</v>
      </c>
      <c r="H47" s="14">
        <f>SUMIFS('2월'!$I:$I,'2월'!$D:$D,C47,'2월'!$C:$C,$H$2)</f>
        <v>29900</v>
      </c>
      <c r="J47" s="15">
        <f t="shared" si="20"/>
        <v>8.0490028528807181E-4</v>
      </c>
      <c r="K47" s="16">
        <f t="shared" si="21"/>
        <v>0</v>
      </c>
      <c r="L47" s="17">
        <f t="shared" si="22"/>
        <v>3.9132550455468857E-3</v>
      </c>
    </row>
    <row r="48" spans="1:12" ht="16.5" customHeight="1" outlineLevel="1" x14ac:dyDescent="0.3">
      <c r="A48" s="4"/>
      <c r="B48" s="9"/>
      <c r="C48" s="18" t="s">
        <v>64</v>
      </c>
      <c r="D48" s="36"/>
      <c r="E48" s="11">
        <f t="shared" si="0"/>
        <v>736600</v>
      </c>
      <c r="F48" s="12">
        <f>SUMIFS('2월'!$I:$I,'2월'!$D:$D,C48,'2월'!$C:$C,$F$2)</f>
        <v>542000</v>
      </c>
      <c r="G48" s="13">
        <f>SUMIFS('2월'!$I:$I,'2월'!$D:$D,C48,'2월'!$C:$C,$G$2)</f>
        <v>149600</v>
      </c>
      <c r="H48" s="14">
        <f>SUMIFS('2월'!$I:$I,'2월'!$D:$D,C48,'2월'!$C:$C,$H$2)</f>
        <v>45000</v>
      </c>
      <c r="J48" s="15">
        <f t="shared" si="20"/>
        <v>7.0935927581485356E-2</v>
      </c>
      <c r="K48" s="16">
        <f t="shared" si="21"/>
        <v>1.9579363037251309E-2</v>
      </c>
      <c r="L48" s="17">
        <f t="shared" si="22"/>
        <v>5.8895142825956476E-3</v>
      </c>
    </row>
    <row r="49" spans="1:12" ht="16.5" customHeight="1" outlineLevel="1" x14ac:dyDescent="0.3">
      <c r="A49" s="4"/>
      <c r="B49" s="9"/>
      <c r="C49" s="18" t="s">
        <v>65</v>
      </c>
      <c r="D49" s="36"/>
      <c r="E49" s="11">
        <f t="shared" si="0"/>
        <v>444690</v>
      </c>
      <c r="F49" s="12">
        <f>SUMIFS('2월'!$I:$I,'2월'!$D:$D,C49,'2월'!$C:$C,$F$2)</f>
        <v>386490</v>
      </c>
      <c r="G49" s="13">
        <f>SUMIFS('2월'!$I:$I,'2월'!$D:$D,C49,'2월'!$C:$C,$G$2)</f>
        <v>0</v>
      </c>
      <c r="H49" s="14">
        <f>SUMIFS('2월'!$I:$I,'2월'!$D:$D,C49,'2월'!$C:$C,$H$2)</f>
        <v>58200</v>
      </c>
      <c r="J49" s="15">
        <f t="shared" si="20"/>
        <v>5.0583075001786486E-2</v>
      </c>
      <c r="K49" s="16">
        <f t="shared" si="21"/>
        <v>0</v>
      </c>
      <c r="L49" s="17">
        <f t="shared" si="22"/>
        <v>7.6171051388237042E-3</v>
      </c>
    </row>
    <row r="50" spans="1:12" ht="16.5" customHeight="1" outlineLevel="1" x14ac:dyDescent="0.3">
      <c r="A50" s="4"/>
      <c r="B50" s="9"/>
      <c r="C50" s="18" t="s">
        <v>66</v>
      </c>
      <c r="D50" s="36"/>
      <c r="E50" s="11">
        <f t="shared" si="0"/>
        <v>47500</v>
      </c>
      <c r="F50" s="12">
        <f>SUMIFS('2월'!$I:$I,'2월'!$D:$D,C50,'2월'!$C:$C,$F$2)</f>
        <v>0</v>
      </c>
      <c r="G50" s="13">
        <f>SUMIFS('2월'!$I:$I,'2월'!$D:$D,C50,'2월'!$C:$C,$G$2)</f>
        <v>17000</v>
      </c>
      <c r="H50" s="14">
        <f>SUMIFS('2월'!$I:$I,'2월'!$D:$D,C50,'2월'!$C:$C,$H$2)</f>
        <v>30500</v>
      </c>
      <c r="J50" s="15">
        <f t="shared" si="20"/>
        <v>0</v>
      </c>
      <c r="K50" s="16">
        <f t="shared" si="21"/>
        <v>2.2249276178694668E-3</v>
      </c>
      <c r="L50" s="17">
        <f t="shared" si="22"/>
        <v>3.9917819026481609E-3</v>
      </c>
    </row>
    <row r="51" spans="1:12" outlineLevel="1" x14ac:dyDescent="0.3">
      <c r="A51" s="4"/>
      <c r="B51" s="9"/>
      <c r="C51" s="18" t="s">
        <v>67</v>
      </c>
      <c r="D51" s="36" t="s">
        <v>68</v>
      </c>
      <c r="E51" s="11">
        <f t="shared" si="0"/>
        <v>64280</v>
      </c>
      <c r="F51" s="12">
        <f>SUMIFS('2월'!$I:$I,'2월'!$D:$D,C51,'2월'!$C:$C,$F$2)</f>
        <v>39900</v>
      </c>
      <c r="G51" s="13">
        <f>SUMIFS('2월'!$I:$I,'2월'!$D:$D,C51,'2월'!$C:$C,$G$2)</f>
        <v>0</v>
      </c>
      <c r="H51" s="14">
        <f>SUMIFS('2월'!$I:$I,'2월'!$D:$D,C51,'2월'!$C:$C,$H$2)</f>
        <v>24380</v>
      </c>
      <c r="J51" s="15">
        <f t="shared" si="20"/>
        <v>5.2220359972348076E-3</v>
      </c>
      <c r="K51" s="16">
        <f t="shared" si="21"/>
        <v>0</v>
      </c>
      <c r="L51" s="17">
        <f t="shared" si="22"/>
        <v>3.190807960215153E-3</v>
      </c>
    </row>
    <row r="52" spans="1:12" outlineLevel="1" x14ac:dyDescent="0.3">
      <c r="A52" s="4"/>
      <c r="B52" s="9"/>
      <c r="C52" s="18" t="s">
        <v>69</v>
      </c>
      <c r="D52" s="36"/>
      <c r="E52" s="11">
        <f t="shared" si="0"/>
        <v>77380</v>
      </c>
      <c r="F52" s="12">
        <f>SUMIFS('2월'!$I:$I,'2월'!$D:$D,C52,'2월'!$C:$C,$F$2)</f>
        <v>77380</v>
      </c>
      <c r="G52" s="13">
        <f>SUMIFS('2월'!$I:$I,'2월'!$D:$D,C52,'2월'!$C:$C,$G$2)</f>
        <v>0</v>
      </c>
      <c r="H52" s="14">
        <f>SUMIFS('2월'!$I:$I,'2월'!$D:$D,C52,'2월'!$C:$C,$H$2)</f>
        <v>0</v>
      </c>
      <c r="J52" s="15">
        <f t="shared" si="20"/>
        <v>1.0127347004161139E-2</v>
      </c>
      <c r="K52" s="16">
        <f t="shared" si="21"/>
        <v>0</v>
      </c>
      <c r="L52" s="17">
        <f t="shared" si="22"/>
        <v>0</v>
      </c>
    </row>
    <row r="53" spans="1:12" ht="16.5" customHeight="1" outlineLevel="1" x14ac:dyDescent="0.3">
      <c r="A53" s="4"/>
      <c r="B53" s="9"/>
      <c r="C53" s="18" t="s">
        <v>70</v>
      </c>
      <c r="D53" s="36"/>
      <c r="E53" s="11">
        <f t="shared" si="0"/>
        <v>90696</v>
      </c>
      <c r="F53" s="12">
        <f>SUMIFS('2월'!$I:$I,'2월'!$D:$D,C53,'2월'!$C:$C,$F$2)</f>
        <v>90696</v>
      </c>
      <c r="G53" s="13">
        <f>SUMIFS('2월'!$I:$I,'2월'!$D:$D,C53,'2월'!$C:$C,$G$2)</f>
        <v>0</v>
      </c>
      <c r="H53" s="14">
        <f>SUMIFS('2월'!$I:$I,'2월'!$D:$D,C53,'2월'!$C:$C,$H$2)</f>
        <v>0</v>
      </c>
      <c r="J53" s="15">
        <f t="shared" si="20"/>
        <v>1.1870119719428775E-2</v>
      </c>
      <c r="K53" s="16">
        <f t="shared" si="21"/>
        <v>0</v>
      </c>
      <c r="L53" s="17">
        <f t="shared" si="22"/>
        <v>0</v>
      </c>
    </row>
    <row r="54" spans="1:12" ht="16.5" customHeight="1" outlineLevel="1" x14ac:dyDescent="0.3">
      <c r="A54" s="4"/>
      <c r="B54" s="9"/>
      <c r="C54" s="18" t="s">
        <v>71</v>
      </c>
      <c r="D54" s="36"/>
      <c r="E54" s="11">
        <f t="shared" si="0"/>
        <v>0</v>
      </c>
      <c r="F54" s="12">
        <f>SUMIFS('2월'!$I:$I,'2월'!$D:$D,C54,'2월'!$C:$C,$F$2)</f>
        <v>0</v>
      </c>
      <c r="G54" s="13">
        <f>SUMIFS('2월'!$I:$I,'2월'!$D:$D,C54,'2월'!$C:$C,$G$2)</f>
        <v>0</v>
      </c>
      <c r="H54" s="14">
        <f>SUMIFS('2월'!$I:$I,'2월'!$D:$D,C54,'2월'!$C:$C,$H$2)</f>
        <v>0</v>
      </c>
      <c r="J54" s="15">
        <f t="shared" si="20"/>
        <v>0</v>
      </c>
      <c r="K54" s="16">
        <f t="shared" si="21"/>
        <v>0</v>
      </c>
      <c r="L54" s="17">
        <f t="shared" si="22"/>
        <v>0</v>
      </c>
    </row>
    <row r="55" spans="1:12" ht="16.5" customHeight="1" outlineLevel="1" x14ac:dyDescent="0.3">
      <c r="A55" s="4"/>
      <c r="B55" s="9"/>
      <c r="C55" s="18" t="s">
        <v>72</v>
      </c>
      <c r="D55" s="36" t="s">
        <v>73</v>
      </c>
      <c r="E55" s="11">
        <f t="shared" si="0"/>
        <v>0</v>
      </c>
      <c r="F55" s="12">
        <f>SUMIFS('2월'!$I:$I,'2월'!$D:$D,C55,'2월'!$C:$C,$F$2)</f>
        <v>0</v>
      </c>
      <c r="G55" s="13">
        <f>SUMIFS('2월'!$I:$I,'2월'!$D:$D,C55,'2월'!$C:$C,$G$2)</f>
        <v>0</v>
      </c>
      <c r="H55" s="14">
        <f>SUMIFS('2월'!$I:$I,'2월'!$D:$D,C55,'2월'!$C:$C,$H$2)</f>
        <v>0</v>
      </c>
      <c r="J55" s="15">
        <f t="shared" si="20"/>
        <v>0</v>
      </c>
      <c r="K55" s="16">
        <f t="shared" si="21"/>
        <v>0</v>
      </c>
      <c r="L55" s="17">
        <f t="shared" si="22"/>
        <v>0</v>
      </c>
    </row>
    <row r="56" spans="1:12" ht="16.5" customHeight="1" x14ac:dyDescent="0.3">
      <c r="A56" s="4"/>
      <c r="B56" s="9"/>
      <c r="C56" s="3"/>
      <c r="D56" s="36"/>
      <c r="E56" s="11"/>
      <c r="F56" s="12"/>
      <c r="G56" s="13"/>
      <c r="H56" s="14"/>
      <c r="J56" s="15">
        <f t="shared" si="20"/>
        <v>0</v>
      </c>
      <c r="K56" s="16">
        <f t="shared" si="21"/>
        <v>0</v>
      </c>
      <c r="L56" s="17">
        <f t="shared" si="22"/>
        <v>0</v>
      </c>
    </row>
    <row r="57" spans="1:12" ht="16.5" customHeight="1" x14ac:dyDescent="0.3">
      <c r="A57" s="4"/>
      <c r="B57" s="9"/>
      <c r="C57" s="3" t="s">
        <v>74</v>
      </c>
      <c r="D57" s="36"/>
      <c r="E57" s="11">
        <f>SUM(E58:E62)</f>
        <v>17500</v>
      </c>
      <c r="F57" s="12">
        <f t="shared" ref="F57:H57" si="23">SUM(F58:F62)</f>
        <v>17500</v>
      </c>
      <c r="G57" s="13">
        <f t="shared" si="23"/>
        <v>0</v>
      </c>
      <c r="H57" s="14">
        <f t="shared" si="23"/>
        <v>0</v>
      </c>
      <c r="J57" s="15"/>
      <c r="K57" s="16"/>
      <c r="L57" s="17"/>
    </row>
    <row r="58" spans="1:12" outlineLevel="1" x14ac:dyDescent="0.3">
      <c r="A58" s="4"/>
      <c r="B58" s="9"/>
      <c r="C58" s="18" t="s">
        <v>75</v>
      </c>
      <c r="D58" s="36" t="s">
        <v>76</v>
      </c>
      <c r="E58" s="11">
        <f t="shared" si="0"/>
        <v>16900</v>
      </c>
      <c r="F58" s="12">
        <f>SUMIFS('2월'!$I:$I,'2월'!$D:$D,C58,'2월'!$C:$C,$F$2)</f>
        <v>16900</v>
      </c>
      <c r="G58" s="13">
        <f>SUMIFS('2월'!$I:$I,'2월'!$D:$D,C58,'2월'!$C:$C,$G$2)</f>
        <v>0</v>
      </c>
      <c r="H58" s="14">
        <f>SUMIFS('2월'!$I:$I,'2월'!$D:$D,C58,'2월'!$C:$C,$H$2)</f>
        <v>0</v>
      </c>
      <c r="J58" s="15">
        <f t="shared" ref="J58:L63" si="24">IF(ISERROR(F58/$E$100),,(F58/$E$100))</f>
        <v>2.2118398083525877E-3</v>
      </c>
      <c r="K58" s="16">
        <f t="shared" si="24"/>
        <v>0</v>
      </c>
      <c r="L58" s="17">
        <f t="shared" si="24"/>
        <v>0</v>
      </c>
    </row>
    <row r="59" spans="1:12" outlineLevel="1" x14ac:dyDescent="0.3">
      <c r="A59" s="4"/>
      <c r="B59" s="9"/>
      <c r="C59" s="18" t="s">
        <v>77</v>
      </c>
      <c r="D59" s="36" t="s">
        <v>78</v>
      </c>
      <c r="E59" s="11">
        <f t="shared" si="0"/>
        <v>0</v>
      </c>
      <c r="F59" s="12">
        <f>SUMIFS('2월'!$I:$I,'2월'!$D:$D,C59,'2월'!$C:$C,$F$2)</f>
        <v>0</v>
      </c>
      <c r="G59" s="13">
        <f>SUMIFS('2월'!$I:$I,'2월'!$D:$D,C59,'2월'!$C:$C,$G$2)</f>
        <v>0</v>
      </c>
      <c r="H59" s="14">
        <f>SUMIFS('2월'!$I:$I,'2월'!$D:$D,C59,'2월'!$C:$C,$H$2)</f>
        <v>0</v>
      </c>
      <c r="J59" s="15">
        <f t="shared" si="24"/>
        <v>0</v>
      </c>
      <c r="K59" s="16">
        <f t="shared" si="24"/>
        <v>0</v>
      </c>
      <c r="L59" s="17">
        <f t="shared" si="24"/>
        <v>0</v>
      </c>
    </row>
    <row r="60" spans="1:12" ht="16.5" customHeight="1" outlineLevel="1" x14ac:dyDescent="0.3">
      <c r="A60" s="4"/>
      <c r="B60" s="9"/>
      <c r="C60" s="18" t="s">
        <v>79</v>
      </c>
      <c r="D60" s="36" t="s">
        <v>80</v>
      </c>
      <c r="E60" s="11">
        <f t="shared" si="0"/>
        <v>0</v>
      </c>
      <c r="F60" s="12">
        <f>SUMIFS('2월'!$I:$I,'2월'!$D:$D,C60,'2월'!$C:$C,$F$2)</f>
        <v>0</v>
      </c>
      <c r="G60" s="13">
        <f>SUMIFS('2월'!$I:$I,'2월'!$D:$D,C60,'2월'!$C:$C,$G$2)</f>
        <v>0</v>
      </c>
      <c r="H60" s="14">
        <f>SUMIFS('2월'!$I:$I,'2월'!$D:$D,C60,'2월'!$C:$C,$H$2)</f>
        <v>0</v>
      </c>
      <c r="J60" s="15">
        <f t="shared" si="24"/>
        <v>0</v>
      </c>
      <c r="K60" s="16">
        <f t="shared" si="24"/>
        <v>0</v>
      </c>
      <c r="L60" s="17">
        <f t="shared" si="24"/>
        <v>0</v>
      </c>
    </row>
    <row r="61" spans="1:12" ht="16.5" customHeight="1" outlineLevel="1" x14ac:dyDescent="0.3">
      <c r="A61" s="4"/>
      <c r="B61" s="9"/>
      <c r="C61" s="18" t="s">
        <v>81</v>
      </c>
      <c r="D61" s="36" t="s">
        <v>82</v>
      </c>
      <c r="E61" s="11">
        <f t="shared" si="0"/>
        <v>0</v>
      </c>
      <c r="F61" s="12">
        <f>SUMIFS('2월'!$I:$I,'2월'!$D:$D,C61,'2월'!$C:$C,$F$2)</f>
        <v>0</v>
      </c>
      <c r="G61" s="13">
        <f>SUMIFS('2월'!$I:$I,'2월'!$D:$D,C61,'2월'!$C:$C,$G$2)</f>
        <v>0</v>
      </c>
      <c r="H61" s="14">
        <f>SUMIFS('2월'!$I:$I,'2월'!$D:$D,C61,'2월'!$C:$C,$H$2)</f>
        <v>0</v>
      </c>
      <c r="J61" s="15">
        <f t="shared" si="24"/>
        <v>0</v>
      </c>
      <c r="K61" s="16">
        <f t="shared" si="24"/>
        <v>0</v>
      </c>
      <c r="L61" s="17">
        <f t="shared" si="24"/>
        <v>0</v>
      </c>
    </row>
    <row r="62" spans="1:12" ht="16.5" customHeight="1" outlineLevel="1" x14ac:dyDescent="0.3">
      <c r="A62" s="4"/>
      <c r="B62" s="9"/>
      <c r="C62" s="18" t="s">
        <v>83</v>
      </c>
      <c r="D62" s="36" t="s">
        <v>84</v>
      </c>
      <c r="E62" s="11">
        <f t="shared" si="0"/>
        <v>600</v>
      </c>
      <c r="F62" s="12">
        <f>SUMIFS('2월'!$I:$I,'2월'!$D:$D,C62,'2월'!$C:$C,$F$2)</f>
        <v>600</v>
      </c>
      <c r="G62" s="13">
        <f>SUMIFS('2월'!$I:$I,'2월'!$D:$D,C62,'2월'!$C:$C,$G$2)</f>
        <v>0</v>
      </c>
      <c r="H62" s="14">
        <f>SUMIFS('2월'!$I:$I,'2월'!$D:$D,C62,'2월'!$C:$C,$H$2)</f>
        <v>0</v>
      </c>
      <c r="J62" s="15">
        <f t="shared" si="24"/>
        <v>7.8526857101275302E-5</v>
      </c>
      <c r="K62" s="16">
        <f t="shared" si="24"/>
        <v>0</v>
      </c>
      <c r="L62" s="17">
        <f t="shared" si="24"/>
        <v>0</v>
      </c>
    </row>
    <row r="63" spans="1:12" x14ac:dyDescent="0.3">
      <c r="A63" s="4"/>
      <c r="B63" s="9"/>
      <c r="C63" s="3"/>
      <c r="D63" s="36"/>
      <c r="E63" s="11"/>
      <c r="F63" s="12"/>
      <c r="G63" s="13"/>
      <c r="H63" s="14"/>
      <c r="J63" s="15">
        <f t="shared" si="24"/>
        <v>0</v>
      </c>
      <c r="K63" s="16">
        <f t="shared" si="24"/>
        <v>0</v>
      </c>
      <c r="L63" s="17">
        <f t="shared" si="24"/>
        <v>0</v>
      </c>
    </row>
    <row r="64" spans="1:12" x14ac:dyDescent="0.3">
      <c r="A64" s="4"/>
      <c r="B64" s="9"/>
      <c r="C64" s="3" t="s">
        <v>85</v>
      </c>
      <c r="D64" s="36"/>
      <c r="E64" s="11">
        <f>SUM(E65:E68)</f>
        <v>43710</v>
      </c>
      <c r="F64" s="12">
        <f>SUM(F65:F68)</f>
        <v>0</v>
      </c>
      <c r="G64" s="13">
        <f>SUM(G65:G68)</f>
        <v>0</v>
      </c>
      <c r="H64" s="14">
        <f>SUM(H65:H68)</f>
        <v>43710</v>
      </c>
      <c r="J64" s="15"/>
      <c r="K64" s="16"/>
      <c r="L64" s="17"/>
    </row>
    <row r="65" spans="1:12" outlineLevel="1" x14ac:dyDescent="0.3">
      <c r="A65" s="4"/>
      <c r="B65" s="9"/>
      <c r="C65" s="18" t="s">
        <v>86</v>
      </c>
      <c r="D65" s="36" t="s">
        <v>87</v>
      </c>
      <c r="E65" s="11">
        <f t="shared" si="0"/>
        <v>0</v>
      </c>
      <c r="F65" s="12">
        <f>SUMIFS('2월'!$I:$I,'2월'!$D:$D,C65,'2월'!$C:$C,$F$2)</f>
        <v>0</v>
      </c>
      <c r="G65" s="13">
        <f>SUMIFS('2월'!$I:$I,'2월'!$D:$D,C65,'2월'!$C:$C,$G$2)</f>
        <v>0</v>
      </c>
      <c r="H65" s="14">
        <f>SUMIFS('2월'!$I:$I,'2월'!$D:$D,C65,'2월'!$C:$C,$H$2)</f>
        <v>0</v>
      </c>
      <c r="J65" s="15">
        <f t="shared" ref="J65:L70" si="25">IF(ISERROR(F65/$E$100),,(F65/$E$100))</f>
        <v>0</v>
      </c>
      <c r="K65" s="16">
        <f t="shared" si="25"/>
        <v>0</v>
      </c>
      <c r="L65" s="17">
        <f t="shared" si="25"/>
        <v>0</v>
      </c>
    </row>
    <row r="66" spans="1:12" outlineLevel="1" x14ac:dyDescent="0.3">
      <c r="A66" s="4"/>
      <c r="B66" s="9"/>
      <c r="C66" s="18" t="s">
        <v>88</v>
      </c>
      <c r="D66" s="36" t="s">
        <v>89</v>
      </c>
      <c r="E66" s="11">
        <f t="shared" si="0"/>
        <v>36510</v>
      </c>
      <c r="F66" s="12">
        <f>SUMIFS('2월'!$I:$I,'2월'!$D:$D,C66,'2월'!$C:$C,$F$2)</f>
        <v>0</v>
      </c>
      <c r="G66" s="13">
        <f>SUMIFS('2월'!$I:$I,'2월'!$D:$D,C66,'2월'!$C:$C,$G$2)</f>
        <v>0</v>
      </c>
      <c r="H66" s="14">
        <f>SUMIFS('2월'!$I:$I,'2월'!$D:$D,C66,'2월'!$C:$C,$H$2)</f>
        <v>36510</v>
      </c>
      <c r="J66" s="15">
        <f t="shared" si="25"/>
        <v>0</v>
      </c>
      <c r="K66" s="16">
        <f t="shared" si="25"/>
        <v>0</v>
      </c>
      <c r="L66" s="17">
        <f t="shared" si="25"/>
        <v>4.7783592546126021E-3</v>
      </c>
    </row>
    <row r="67" spans="1:12" ht="16.5" customHeight="1" outlineLevel="1" x14ac:dyDescent="0.3">
      <c r="A67" s="4"/>
      <c r="B67" s="9"/>
      <c r="C67" s="18" t="s">
        <v>90</v>
      </c>
      <c r="D67" s="36"/>
      <c r="E67" s="11">
        <f t="shared" si="0"/>
        <v>0</v>
      </c>
      <c r="F67" s="12">
        <f>SUMIFS('2월'!$I:$I,'2월'!$D:$D,C67,'2월'!$C:$C,$F$2)</f>
        <v>0</v>
      </c>
      <c r="G67" s="13">
        <f>SUMIFS('2월'!$I:$I,'2월'!$D:$D,C67,'2월'!$C:$C,$G$2)</f>
        <v>0</v>
      </c>
      <c r="H67" s="14">
        <f>SUMIFS('2월'!$I:$I,'2월'!$D:$D,C67,'2월'!$C:$C,$H$2)</f>
        <v>0</v>
      </c>
      <c r="J67" s="15">
        <f t="shared" si="25"/>
        <v>0</v>
      </c>
      <c r="K67" s="16">
        <f t="shared" si="25"/>
        <v>0</v>
      </c>
      <c r="L67" s="17">
        <f t="shared" si="25"/>
        <v>0</v>
      </c>
    </row>
    <row r="68" spans="1:12" ht="16.5" customHeight="1" outlineLevel="1" x14ac:dyDescent="0.3">
      <c r="A68" s="4"/>
      <c r="B68" s="9"/>
      <c r="C68" s="18" t="s">
        <v>91</v>
      </c>
      <c r="D68" s="36" t="s">
        <v>92</v>
      </c>
      <c r="E68" s="11">
        <f t="shared" si="0"/>
        <v>7200</v>
      </c>
      <c r="F68" s="12">
        <f>SUMIFS('2월'!$I:$I,'2월'!$D:$D,C68,'2월'!$C:$C,$F$2)</f>
        <v>0</v>
      </c>
      <c r="G68" s="13">
        <f>SUMIFS('2월'!$I:$I,'2월'!$D:$D,C68,'2월'!$C:$C,$G$2)</f>
        <v>0</v>
      </c>
      <c r="H68" s="14">
        <f>SUMIFS('2월'!$I:$I,'2월'!$D:$D,C68,'2월'!$C:$C,$H$2)</f>
        <v>7200</v>
      </c>
      <c r="J68" s="15">
        <f t="shared" si="25"/>
        <v>0</v>
      </c>
      <c r="K68" s="16">
        <f t="shared" si="25"/>
        <v>0</v>
      </c>
      <c r="L68" s="17">
        <f t="shared" si="25"/>
        <v>9.4232228521530363E-4</v>
      </c>
    </row>
    <row r="69" spans="1:12" ht="16.5" customHeight="1" x14ac:dyDescent="0.3">
      <c r="A69" s="4"/>
      <c r="B69" s="9"/>
      <c r="C69" s="18"/>
      <c r="D69" s="36"/>
      <c r="E69" s="11"/>
      <c r="F69" s="12"/>
      <c r="G69" s="13"/>
      <c r="H69" s="14"/>
      <c r="J69" s="15">
        <f t="shared" si="25"/>
        <v>0</v>
      </c>
      <c r="K69" s="16">
        <f t="shared" si="25"/>
        <v>0</v>
      </c>
      <c r="L69" s="17">
        <f t="shared" si="25"/>
        <v>0</v>
      </c>
    </row>
    <row r="70" spans="1:12" ht="16.5" customHeight="1" x14ac:dyDescent="0.3">
      <c r="A70" s="4"/>
      <c r="B70" s="9"/>
      <c r="C70" s="3"/>
      <c r="D70" s="36"/>
      <c r="E70" s="11"/>
      <c r="F70" s="12"/>
      <c r="G70" s="13"/>
      <c r="H70" s="14"/>
      <c r="J70" s="15">
        <f t="shared" si="25"/>
        <v>0</v>
      </c>
      <c r="K70" s="16">
        <f t="shared" si="25"/>
        <v>0</v>
      </c>
      <c r="L70" s="17">
        <f t="shared" si="25"/>
        <v>0</v>
      </c>
    </row>
    <row r="71" spans="1:12" ht="16.5" customHeight="1" x14ac:dyDescent="0.3">
      <c r="A71" s="4"/>
      <c r="B71" s="9"/>
      <c r="C71" s="3" t="s">
        <v>93</v>
      </c>
      <c r="D71" s="36"/>
      <c r="E71" s="11">
        <f>SUM(E72:E77)</f>
        <v>0</v>
      </c>
      <c r="F71" s="12">
        <f t="shared" ref="F71:H71" si="26">SUM(F72:F77)</f>
        <v>0</v>
      </c>
      <c r="G71" s="13">
        <f t="shared" si="26"/>
        <v>0</v>
      </c>
      <c r="H71" s="14">
        <f t="shared" si="26"/>
        <v>0</v>
      </c>
      <c r="J71" s="15"/>
      <c r="K71" s="16"/>
      <c r="L71" s="17"/>
    </row>
    <row r="72" spans="1:12" ht="16.5" customHeight="1" outlineLevel="1" x14ac:dyDescent="0.3">
      <c r="A72" s="4"/>
      <c r="B72" s="9"/>
      <c r="C72" s="18" t="s">
        <v>94</v>
      </c>
      <c r="D72" s="36"/>
      <c r="E72" s="11">
        <f t="shared" si="0"/>
        <v>0</v>
      </c>
      <c r="F72" s="12">
        <f>SUMIFS('2월'!$I:$I,'2월'!$D:$D,C72,'2월'!$C:$C,$F$2)</f>
        <v>0</v>
      </c>
      <c r="G72" s="13">
        <f>SUMIFS('2월'!$I:$I,'2월'!$D:$D,C72,'2월'!$C:$C,$G$2)</f>
        <v>0</v>
      </c>
      <c r="H72" s="14">
        <f>SUMIFS('2월'!$I:$I,'2월'!$D:$D,C72,'2월'!$C:$C,$H$2)</f>
        <v>0</v>
      </c>
      <c r="J72" s="15">
        <f t="shared" ref="J72:J80" si="27">IF(ISERROR(F72/$E$100),,(F72/$E$100))</f>
        <v>0</v>
      </c>
      <c r="K72" s="16">
        <f t="shared" ref="K72:K80" si="28">IF(ISERROR(G72/$E$100),,(G72/$E$100))</f>
        <v>0</v>
      </c>
      <c r="L72" s="17">
        <f t="shared" ref="L72:L80" si="29">IF(ISERROR(H72/$E$100),,(H72/$E$100))</f>
        <v>0</v>
      </c>
    </row>
    <row r="73" spans="1:12" outlineLevel="1" x14ac:dyDescent="0.3">
      <c r="A73" s="4"/>
      <c r="B73" s="9"/>
      <c r="C73" s="18" t="s">
        <v>95</v>
      </c>
      <c r="D73" s="36"/>
      <c r="E73" s="11">
        <f t="shared" si="0"/>
        <v>0</v>
      </c>
      <c r="F73" s="12">
        <f>SUMIFS('2월'!$I:$I,'2월'!$D:$D,C73,'2월'!$C:$C,$F$2)</f>
        <v>0</v>
      </c>
      <c r="G73" s="13">
        <f>SUMIFS('2월'!$I:$I,'2월'!$D:$D,C73,'2월'!$C:$C,$G$2)</f>
        <v>0</v>
      </c>
      <c r="H73" s="14">
        <f>SUMIFS('2월'!$I:$I,'2월'!$D:$D,C73,'2월'!$C:$C,$H$2)</f>
        <v>0</v>
      </c>
      <c r="J73" s="15">
        <f t="shared" si="27"/>
        <v>0</v>
      </c>
      <c r="K73" s="16">
        <f t="shared" si="28"/>
        <v>0</v>
      </c>
      <c r="L73" s="17">
        <f t="shared" si="29"/>
        <v>0</v>
      </c>
    </row>
    <row r="74" spans="1:12" outlineLevel="1" x14ac:dyDescent="0.3">
      <c r="A74" s="4"/>
      <c r="B74" s="9"/>
      <c r="C74" s="18" t="s">
        <v>96</v>
      </c>
      <c r="D74" s="36" t="s">
        <v>97</v>
      </c>
      <c r="E74" s="11">
        <f t="shared" si="0"/>
        <v>0</v>
      </c>
      <c r="F74" s="12">
        <f>SUMIFS('2월'!$I:$I,'2월'!$D:$D,C74,'2월'!$C:$C,$F$2)</f>
        <v>0</v>
      </c>
      <c r="G74" s="13">
        <f>SUMIFS('2월'!$I:$I,'2월'!$D:$D,C74,'2월'!$C:$C,$G$2)</f>
        <v>0</v>
      </c>
      <c r="H74" s="14">
        <f>SUMIFS('2월'!$I:$I,'2월'!$D:$D,C74,'2월'!$C:$C,$H$2)</f>
        <v>0</v>
      </c>
      <c r="J74" s="15">
        <f t="shared" si="27"/>
        <v>0</v>
      </c>
      <c r="K74" s="16">
        <f t="shared" si="28"/>
        <v>0</v>
      </c>
      <c r="L74" s="17">
        <f t="shared" si="29"/>
        <v>0</v>
      </c>
    </row>
    <row r="75" spans="1:12" outlineLevel="1" x14ac:dyDescent="0.3">
      <c r="A75" s="4"/>
      <c r="B75" s="9"/>
      <c r="C75" s="18" t="s">
        <v>98</v>
      </c>
      <c r="D75" s="36" t="s">
        <v>99</v>
      </c>
      <c r="E75" s="11">
        <f t="shared" si="0"/>
        <v>0</v>
      </c>
      <c r="F75" s="12">
        <f>SUMIFS('2월'!$I:$I,'2월'!$D:$D,C75,'2월'!$C:$C,$F$2)</f>
        <v>0</v>
      </c>
      <c r="G75" s="13">
        <f>SUMIFS('2월'!$I:$I,'2월'!$D:$D,C75,'2월'!$C:$C,$G$2)</f>
        <v>0</v>
      </c>
      <c r="H75" s="14">
        <f>SUMIFS('2월'!$I:$I,'2월'!$D:$D,C75,'2월'!$C:$C,$H$2)</f>
        <v>0</v>
      </c>
      <c r="J75" s="15">
        <f t="shared" si="27"/>
        <v>0</v>
      </c>
      <c r="K75" s="16">
        <f t="shared" si="28"/>
        <v>0</v>
      </c>
      <c r="L75" s="17">
        <f t="shared" si="29"/>
        <v>0</v>
      </c>
    </row>
    <row r="76" spans="1:12" outlineLevel="1" x14ac:dyDescent="0.3">
      <c r="A76" s="4"/>
      <c r="B76" s="9"/>
      <c r="C76" s="18" t="s">
        <v>100</v>
      </c>
      <c r="D76" s="36" t="s">
        <v>101</v>
      </c>
      <c r="E76" s="11">
        <f t="shared" si="0"/>
        <v>0</v>
      </c>
      <c r="F76" s="12">
        <f>SUMIFS('2월'!$I:$I,'2월'!$D:$D,C76,'2월'!$C:$C,$F$2)</f>
        <v>0</v>
      </c>
      <c r="G76" s="13">
        <f>SUMIFS('2월'!$I:$I,'2월'!$D:$D,C76,'2월'!$C:$C,$G$2)</f>
        <v>0</v>
      </c>
      <c r="H76" s="14">
        <f>SUMIFS('2월'!$I:$I,'2월'!$D:$D,C76,'2월'!$C:$C,$H$2)</f>
        <v>0</v>
      </c>
      <c r="J76" s="15">
        <f t="shared" si="27"/>
        <v>0</v>
      </c>
      <c r="K76" s="16">
        <f t="shared" si="28"/>
        <v>0</v>
      </c>
      <c r="L76" s="17">
        <f t="shared" si="29"/>
        <v>0</v>
      </c>
    </row>
    <row r="77" spans="1:12" ht="16.5" customHeight="1" outlineLevel="1" x14ac:dyDescent="0.3">
      <c r="A77" s="4"/>
      <c r="B77" s="9"/>
      <c r="C77" s="18" t="s">
        <v>102</v>
      </c>
      <c r="D77" s="36" t="s">
        <v>103</v>
      </c>
      <c r="E77" s="11">
        <f t="shared" si="0"/>
        <v>0</v>
      </c>
      <c r="F77" s="12">
        <f>SUMIFS('2월'!$I:$I,'2월'!$D:$D,C77,'2월'!$C:$C,$F$2)</f>
        <v>0</v>
      </c>
      <c r="G77" s="13">
        <f>SUMIFS('2월'!$I:$I,'2월'!$D:$D,C77,'2월'!$C:$C,$G$2)</f>
        <v>0</v>
      </c>
      <c r="H77" s="14">
        <f>SUMIFS('2월'!$I:$I,'2월'!$D:$D,C77,'2월'!$C:$C,$H$2)</f>
        <v>0</v>
      </c>
      <c r="J77" s="15">
        <f t="shared" si="27"/>
        <v>0</v>
      </c>
      <c r="K77" s="16">
        <f t="shared" si="28"/>
        <v>0</v>
      </c>
      <c r="L77" s="17">
        <f t="shared" si="29"/>
        <v>0</v>
      </c>
    </row>
    <row r="78" spans="1:12" ht="16.5" customHeight="1" x14ac:dyDescent="0.3">
      <c r="A78" s="4"/>
      <c r="B78" s="9"/>
      <c r="C78" s="3"/>
      <c r="D78" s="36"/>
      <c r="E78" s="11"/>
      <c r="F78" s="12"/>
      <c r="G78" s="13"/>
      <c r="H78" s="14"/>
      <c r="J78" s="15">
        <f t="shared" si="27"/>
        <v>0</v>
      </c>
      <c r="K78" s="16">
        <f t="shared" si="28"/>
        <v>0</v>
      </c>
      <c r="L78" s="17">
        <f t="shared" si="29"/>
        <v>0</v>
      </c>
    </row>
    <row r="79" spans="1:12" ht="16.5" customHeight="1" x14ac:dyDescent="0.3">
      <c r="A79" s="4"/>
      <c r="B79" s="9"/>
      <c r="C79" s="3"/>
      <c r="D79" s="36"/>
      <c r="E79" s="11"/>
      <c r="F79" s="12"/>
      <c r="G79" s="13"/>
      <c r="H79" s="14"/>
      <c r="J79" s="15">
        <f t="shared" si="27"/>
        <v>0</v>
      </c>
      <c r="K79" s="16">
        <f t="shared" si="28"/>
        <v>0</v>
      </c>
      <c r="L79" s="17">
        <f t="shared" si="29"/>
        <v>0</v>
      </c>
    </row>
    <row r="80" spans="1:12" ht="16.5" customHeight="1" x14ac:dyDescent="0.3">
      <c r="A80" s="4"/>
      <c r="B80" s="9"/>
      <c r="C80" s="3"/>
      <c r="D80" s="36"/>
      <c r="E80" s="11"/>
      <c r="F80" s="12"/>
      <c r="G80" s="13"/>
      <c r="H80" s="14"/>
      <c r="J80" s="15">
        <f t="shared" si="27"/>
        <v>0</v>
      </c>
      <c r="K80" s="16">
        <f t="shared" si="28"/>
        <v>0</v>
      </c>
      <c r="L80" s="17">
        <f t="shared" si="29"/>
        <v>0</v>
      </c>
    </row>
    <row r="81" spans="1:12" ht="16.5" customHeight="1" x14ac:dyDescent="0.3">
      <c r="A81" s="4"/>
      <c r="B81" s="9"/>
      <c r="C81" s="3" t="s">
        <v>104</v>
      </c>
      <c r="D81" s="36"/>
      <c r="E81" s="11">
        <f>SUM(E82:E86)</f>
        <v>421100</v>
      </c>
      <c r="F81" s="12">
        <f t="shared" ref="F81:H81" si="30">SUM(F82:F86)</f>
        <v>0</v>
      </c>
      <c r="G81" s="13">
        <f t="shared" si="30"/>
        <v>0</v>
      </c>
      <c r="H81" s="14">
        <f t="shared" si="30"/>
        <v>421100</v>
      </c>
      <c r="J81" s="15"/>
      <c r="K81" s="16"/>
      <c r="L81" s="17"/>
    </row>
    <row r="82" spans="1:12" outlineLevel="1" x14ac:dyDescent="0.3">
      <c r="A82" s="4"/>
      <c r="B82" s="9"/>
      <c r="C82" s="18" t="s">
        <v>105</v>
      </c>
      <c r="D82" s="36"/>
      <c r="E82" s="11">
        <f t="shared" ref="E82:E96" si="31">SUM(F82:H82)</f>
        <v>321800</v>
      </c>
      <c r="F82" s="12">
        <f>SUMIFS('2월'!$I:$I,'2월'!$D:$D,C82,'2월'!$C:$C,$F$2)</f>
        <v>0</v>
      </c>
      <c r="G82" s="13">
        <f>SUMIFS('2월'!$I:$I,'2월'!$D:$D,C82,'2월'!$C:$C,$G$2)</f>
        <v>0</v>
      </c>
      <c r="H82" s="14">
        <f>SUMIFS('2월'!$I:$I,'2월'!$D:$D,C82,'2월'!$C:$C,$H$2)</f>
        <v>321800</v>
      </c>
      <c r="J82" s="15">
        <f t="shared" ref="J82:L87" si="32">IF(ISERROR(F82/$E$100),,(F82/$E$100))</f>
        <v>0</v>
      </c>
      <c r="K82" s="16">
        <f t="shared" si="32"/>
        <v>0</v>
      </c>
      <c r="L82" s="17">
        <f t="shared" si="32"/>
        <v>4.2116571025317323E-2</v>
      </c>
    </row>
    <row r="83" spans="1:12" outlineLevel="1" x14ac:dyDescent="0.3">
      <c r="A83" s="4"/>
      <c r="B83" s="9"/>
      <c r="C83" s="18" t="s">
        <v>106</v>
      </c>
      <c r="D83" s="36"/>
      <c r="E83" s="11">
        <f t="shared" si="31"/>
        <v>28300</v>
      </c>
      <c r="F83" s="12">
        <f>SUMIFS('2월'!$I:$I,'2월'!$D:$D,C83,'2월'!$C:$C,$F$2)</f>
        <v>0</v>
      </c>
      <c r="G83" s="13">
        <f>SUMIFS('2월'!$I:$I,'2월'!$D:$D,C83,'2월'!$C:$C,$G$2)</f>
        <v>0</v>
      </c>
      <c r="H83" s="14">
        <f>SUMIFS('2월'!$I:$I,'2월'!$D:$D,C83,'2월'!$C:$C,$H$2)</f>
        <v>28300</v>
      </c>
      <c r="J83" s="15">
        <f t="shared" si="32"/>
        <v>0</v>
      </c>
      <c r="K83" s="16">
        <f t="shared" si="32"/>
        <v>0</v>
      </c>
      <c r="L83" s="17">
        <f t="shared" si="32"/>
        <v>3.7038500932768184E-3</v>
      </c>
    </row>
    <row r="84" spans="1:12" ht="16.5" customHeight="1" outlineLevel="1" x14ac:dyDescent="0.3">
      <c r="A84" s="4"/>
      <c r="B84" s="9"/>
      <c r="C84" s="18" t="s">
        <v>107</v>
      </c>
      <c r="D84" s="36" t="s">
        <v>108</v>
      </c>
      <c r="E84" s="11">
        <f t="shared" si="31"/>
        <v>0</v>
      </c>
      <c r="F84" s="12">
        <f>SUMIFS('2월'!$I:$I,'2월'!$D:$D,C84,'2월'!$C:$C,$F$2)</f>
        <v>0</v>
      </c>
      <c r="G84" s="13">
        <f>SUMIFS('2월'!$I:$I,'2월'!$D:$D,C84,'2월'!$C:$C,$G$2)</f>
        <v>0</v>
      </c>
      <c r="H84" s="14">
        <f>SUMIFS('2월'!$I:$I,'2월'!$D:$D,C84,'2월'!$C:$C,$H$2)</f>
        <v>0</v>
      </c>
      <c r="J84" s="15">
        <f t="shared" si="32"/>
        <v>0</v>
      </c>
      <c r="K84" s="16">
        <f t="shared" si="32"/>
        <v>0</v>
      </c>
      <c r="L84" s="17">
        <f t="shared" si="32"/>
        <v>0</v>
      </c>
    </row>
    <row r="85" spans="1:12" ht="16.5" customHeight="1" outlineLevel="1" x14ac:dyDescent="0.3">
      <c r="A85" s="4"/>
      <c r="B85" s="9"/>
      <c r="C85" s="18" t="s">
        <v>109</v>
      </c>
      <c r="D85" s="36" t="s">
        <v>110</v>
      </c>
      <c r="E85" s="11">
        <f t="shared" si="31"/>
        <v>71000</v>
      </c>
      <c r="F85" s="12">
        <f>SUMIFS('2월'!$I:$I,'2월'!$D:$D,C85,'2월'!$C:$C,$F$2)</f>
        <v>0</v>
      </c>
      <c r="G85" s="13">
        <f>SUMIFS('2월'!$I:$I,'2월'!$D:$D,C85,'2월'!$C:$C,$G$2)</f>
        <v>0</v>
      </c>
      <c r="H85" s="14">
        <f>SUMIFS('2월'!$I:$I,'2월'!$D:$D,C85,'2월'!$C:$C,$H$2)</f>
        <v>71000</v>
      </c>
      <c r="J85" s="15">
        <f t="shared" si="32"/>
        <v>0</v>
      </c>
      <c r="K85" s="16">
        <f t="shared" si="32"/>
        <v>0</v>
      </c>
      <c r="L85" s="17">
        <f t="shared" si="32"/>
        <v>9.2923447569842436E-3</v>
      </c>
    </row>
    <row r="86" spans="1:12" ht="16.5" customHeight="1" outlineLevel="1" x14ac:dyDescent="0.3">
      <c r="A86" s="4"/>
      <c r="B86" s="9"/>
      <c r="C86" s="18" t="s">
        <v>111</v>
      </c>
      <c r="D86" s="36" t="s">
        <v>112</v>
      </c>
      <c r="E86" s="11">
        <f t="shared" si="31"/>
        <v>0</v>
      </c>
      <c r="F86" s="12">
        <f>SUMIFS('2월'!$I:$I,'2월'!$D:$D,C86,'2월'!$C:$C,$F$2)</f>
        <v>0</v>
      </c>
      <c r="G86" s="13">
        <f>SUMIFS('2월'!$I:$I,'2월'!$D:$D,C86,'2월'!$C:$C,$G$2)</f>
        <v>0</v>
      </c>
      <c r="H86" s="14">
        <f>SUMIFS('2월'!$I:$I,'2월'!$D:$D,C86,'2월'!$C:$C,$H$2)</f>
        <v>0</v>
      </c>
      <c r="J86" s="15">
        <f t="shared" si="32"/>
        <v>0</v>
      </c>
      <c r="K86" s="16">
        <f t="shared" si="32"/>
        <v>0</v>
      </c>
      <c r="L86" s="17">
        <f t="shared" si="32"/>
        <v>0</v>
      </c>
    </row>
    <row r="87" spans="1:12" x14ac:dyDescent="0.3">
      <c r="A87" s="4"/>
      <c r="B87" s="9"/>
      <c r="C87" s="3"/>
      <c r="D87" s="36"/>
      <c r="E87" s="11">
        <f t="shared" si="31"/>
        <v>0</v>
      </c>
      <c r="F87" s="12">
        <f>SUMIFS('2월'!$I:$I,'2월'!$D:$D,C87,'2월'!$C:$C,$F$2)</f>
        <v>0</v>
      </c>
      <c r="G87" s="13">
        <f>SUMIFS('2월'!$I:$I,'2월'!$D:$D,C87,'2월'!$C:$C,$G$2)</f>
        <v>0</v>
      </c>
      <c r="H87" s="14">
        <f>SUMIFS('2월'!$I:$I,'2월'!$D:$D,C87,'2월'!$C:$C,$H$2)</f>
        <v>0</v>
      </c>
      <c r="J87" s="15">
        <f t="shared" si="32"/>
        <v>0</v>
      </c>
      <c r="K87" s="16">
        <f t="shared" si="32"/>
        <v>0</v>
      </c>
      <c r="L87" s="17">
        <f t="shared" si="32"/>
        <v>0</v>
      </c>
    </row>
    <row r="88" spans="1:12" x14ac:dyDescent="0.3">
      <c r="A88" s="4"/>
      <c r="B88" s="9"/>
      <c r="C88" s="3" t="s">
        <v>116</v>
      </c>
      <c r="D88" s="36"/>
      <c r="E88" s="11">
        <f>SUM(E89:E92)</f>
        <v>221400</v>
      </c>
      <c r="F88" s="12">
        <f>SUM(F89:F92)</f>
        <v>221400</v>
      </c>
      <c r="G88" s="13">
        <f>SUM(G89:G92)</f>
        <v>0</v>
      </c>
      <c r="H88" s="14">
        <f>SUM(H89:H92)</f>
        <v>0</v>
      </c>
      <c r="J88" s="15"/>
      <c r="K88" s="16"/>
      <c r="L88" s="17"/>
    </row>
    <row r="89" spans="1:12" outlineLevel="1" x14ac:dyDescent="0.3">
      <c r="A89" s="4"/>
      <c r="B89" s="9"/>
      <c r="C89" s="18" t="s">
        <v>117</v>
      </c>
      <c r="D89" s="36" t="s">
        <v>118</v>
      </c>
      <c r="E89" s="11">
        <f t="shared" si="31"/>
        <v>221400</v>
      </c>
      <c r="F89" s="12">
        <f>SUMIFS('2월'!$I:$I,'2월'!$D:$D,C89,'2월'!$C:$C,$F$2)</f>
        <v>221400</v>
      </c>
      <c r="G89" s="13">
        <f>SUMIFS('2월'!$I:$I,'2월'!$D:$D,C89,'2월'!$C:$C,$G$2)</f>
        <v>0</v>
      </c>
      <c r="H89" s="14">
        <f>SUMIFS('2월'!$I:$I,'2월'!$D:$D,C89,'2월'!$C:$C,$H$2)</f>
        <v>0</v>
      </c>
      <c r="J89" s="15">
        <f t="shared" ref="J89:L90" si="33">IF(ISERROR(F89/$E$100),,(F89/$E$100))</f>
        <v>2.8976410270370588E-2</v>
      </c>
      <c r="K89" s="16">
        <f t="shared" si="33"/>
        <v>0</v>
      </c>
      <c r="L89" s="17">
        <f t="shared" si="33"/>
        <v>0</v>
      </c>
    </row>
    <row r="90" spans="1:12" ht="16.5" customHeight="1" outlineLevel="1" x14ac:dyDescent="0.3">
      <c r="A90" s="4"/>
      <c r="B90" s="9"/>
      <c r="C90" s="18" t="s">
        <v>119</v>
      </c>
      <c r="D90" s="36" t="s">
        <v>120</v>
      </c>
      <c r="E90" s="11">
        <f t="shared" si="31"/>
        <v>0</v>
      </c>
      <c r="F90" s="12">
        <f>SUMIFS('2월'!$I:$I,'2월'!$D:$D,C90,'2월'!$C:$C,$F$2)</f>
        <v>0</v>
      </c>
      <c r="G90" s="13">
        <f>SUMIFS('2월'!$I:$I,'2월'!$D:$D,C90,'2월'!$C:$C,$G$2)</f>
        <v>0</v>
      </c>
      <c r="H90" s="14">
        <f>SUMIFS('2월'!$I:$I,'2월'!$D:$D,C90,'2월'!$C:$C,$H$2)</f>
        <v>0</v>
      </c>
      <c r="J90" s="15">
        <f t="shared" si="33"/>
        <v>0</v>
      </c>
      <c r="K90" s="16">
        <f t="shared" si="33"/>
        <v>0</v>
      </c>
      <c r="L90" s="17">
        <f t="shared" si="33"/>
        <v>0</v>
      </c>
    </row>
    <row r="91" spans="1:12" ht="16.5" customHeight="1" outlineLevel="1" x14ac:dyDescent="0.3">
      <c r="A91" s="4"/>
      <c r="B91" s="9"/>
      <c r="C91" s="18" t="s">
        <v>121</v>
      </c>
      <c r="D91" s="36" t="s">
        <v>122</v>
      </c>
      <c r="E91" s="11">
        <f t="shared" si="31"/>
        <v>0</v>
      </c>
      <c r="F91" s="12">
        <f>SUMIFS('2월'!$I:$I,'2월'!$D:$D,C91,'2월'!$C:$C,$F$2)</f>
        <v>0</v>
      </c>
      <c r="G91" s="13">
        <f>SUMIFS('2월'!$I:$I,'2월'!$D:$D,C91,'2월'!$C:$C,$G$2)</f>
        <v>0</v>
      </c>
      <c r="H91" s="14">
        <f>SUMIFS('2월'!$I:$I,'2월'!$D:$D,C91,'2월'!$C:$C,$H$2)</f>
        <v>0</v>
      </c>
      <c r="J91" s="15">
        <f t="shared" ref="J91:J98" si="34">IF(ISERROR(F91/$E$100),,(F91/$E$100))</f>
        <v>0</v>
      </c>
      <c r="K91" s="16">
        <f t="shared" ref="K91:L93" si="35">IF(ISERROR(G91/$E$100),,(G91/$E$100))</f>
        <v>0</v>
      </c>
      <c r="L91" s="17">
        <f t="shared" si="35"/>
        <v>0</v>
      </c>
    </row>
    <row r="92" spans="1:12" ht="16.5" customHeight="1" x14ac:dyDescent="0.3">
      <c r="A92" s="4"/>
      <c r="B92" s="9"/>
      <c r="C92" s="18" t="s">
        <v>123</v>
      </c>
      <c r="D92" s="36"/>
      <c r="E92" s="11">
        <f t="shared" si="31"/>
        <v>0</v>
      </c>
      <c r="F92" s="12">
        <f>SUMIFS('2월'!$I:$I,'2월'!$D:$D,C92,'2월'!$C:$C,$F$2)</f>
        <v>0</v>
      </c>
      <c r="G92" s="13">
        <f>SUMIFS('2월'!$I:$I,'2월'!$D:$D,C92,'2월'!$C:$C,$G$2)</f>
        <v>0</v>
      </c>
      <c r="H92" s="14">
        <f>SUMIFS('2월'!$I:$I,'2월'!$D:$D,C92,'2월'!$C:$C,$H$2)</f>
        <v>0</v>
      </c>
      <c r="J92" s="15">
        <f t="shared" si="34"/>
        <v>0</v>
      </c>
      <c r="K92" s="16">
        <f t="shared" si="35"/>
        <v>0</v>
      </c>
      <c r="L92" s="17">
        <f t="shared" si="35"/>
        <v>0</v>
      </c>
    </row>
    <row r="93" spans="1:12" ht="16.5" customHeight="1" x14ac:dyDescent="0.3">
      <c r="A93" s="4"/>
      <c r="B93" s="9"/>
      <c r="C93" s="3"/>
      <c r="D93" s="36"/>
      <c r="E93" s="11">
        <f t="shared" si="31"/>
        <v>0</v>
      </c>
      <c r="F93" s="12">
        <f>SUMIFS('2월'!$I:$I,'2월'!$D:$D,C93,'2월'!$C:$C,$F$2)</f>
        <v>0</v>
      </c>
      <c r="G93" s="13">
        <f>SUMIFS('2월'!$I:$I,'2월'!$D:$D,C93,'2월'!$C:$C,$G$2)</f>
        <v>0</v>
      </c>
      <c r="H93" s="14">
        <f>SUMIFS('2월'!$I:$I,'2월'!$D:$D,C93,'2월'!$C:$C,$H$2)</f>
        <v>0</v>
      </c>
      <c r="J93" s="15">
        <f t="shared" si="34"/>
        <v>0</v>
      </c>
      <c r="K93" s="16">
        <f t="shared" si="35"/>
        <v>0</v>
      </c>
      <c r="L93" s="17">
        <f t="shared" si="35"/>
        <v>0</v>
      </c>
    </row>
    <row r="94" spans="1:12" ht="16.5" customHeight="1" x14ac:dyDescent="0.3">
      <c r="A94" s="4"/>
      <c r="B94" s="9"/>
      <c r="C94" s="3" t="s">
        <v>124</v>
      </c>
      <c r="D94" s="36"/>
      <c r="E94" s="11">
        <f>SUM(E95:E98)</f>
        <v>199700</v>
      </c>
      <c r="F94" s="12">
        <f>SUM(F95:F98)</f>
        <v>208900</v>
      </c>
      <c r="G94" s="13">
        <f>SUM(G95:G98)</f>
        <v>0</v>
      </c>
      <c r="H94" s="14">
        <f>SUM(H95:H98)</f>
        <v>-9200</v>
      </c>
      <c r="J94" s="15">
        <f t="shared" si="34"/>
        <v>2.7340434080760683E-2</v>
      </c>
      <c r="K94" s="16"/>
      <c r="L94" s="17"/>
    </row>
    <row r="95" spans="1:12" ht="16.5" customHeight="1" outlineLevel="1" x14ac:dyDescent="0.3">
      <c r="A95" s="4"/>
      <c r="B95" s="9"/>
      <c r="C95" s="18" t="s">
        <v>125</v>
      </c>
      <c r="D95" s="36"/>
      <c r="E95" s="11">
        <f t="shared" si="31"/>
        <v>-9200</v>
      </c>
      <c r="F95" s="12">
        <f>SUMIFS('2월'!$I:$I,'2월'!$D:$D,C95,'2월'!$C:$C,$F$2)</f>
        <v>0</v>
      </c>
      <c r="G95" s="13">
        <f>SUMIFS('2월'!$I:$I,'2월'!$D:$D,C95,'2월'!$C:$C,$G$2)</f>
        <v>0</v>
      </c>
      <c r="H95" s="14">
        <f>SUMIFS('2월'!$I:$I,'2월'!$D:$D,C95,'2월'!$C:$C,$H$2)</f>
        <v>-9200</v>
      </c>
      <c r="J95" s="15">
        <f t="shared" si="34"/>
        <v>0</v>
      </c>
      <c r="K95" s="16">
        <f t="shared" ref="K95:L98" si="36">IF(ISERROR(G95/$E$100),,(G95/$E$100))</f>
        <v>0</v>
      </c>
      <c r="L95" s="17">
        <f t="shared" si="36"/>
        <v>-1.204078475552888E-3</v>
      </c>
    </row>
    <row r="96" spans="1:12" ht="16.5" customHeight="1" outlineLevel="1" x14ac:dyDescent="0.3">
      <c r="A96" s="4"/>
      <c r="B96" s="9"/>
      <c r="C96" s="18" t="s">
        <v>126</v>
      </c>
      <c r="D96" s="36"/>
      <c r="E96" s="11">
        <f t="shared" si="31"/>
        <v>104000</v>
      </c>
      <c r="F96" s="12">
        <f>SUMIFS('2월'!$I:$I,'2월'!$D:$D,C96,'2월'!$C:$C,$F$2)</f>
        <v>104000</v>
      </c>
      <c r="G96" s="13">
        <f>SUMIFS('2월'!$I:$I,'2월'!$D:$D,C96,'2월'!$C:$C,$G$2)</f>
        <v>0</v>
      </c>
      <c r="H96" s="14">
        <f>SUMIFS('2월'!$I:$I,'2월'!$D:$D,C96,'2월'!$C:$C,$H$2)</f>
        <v>0</v>
      </c>
      <c r="J96" s="15">
        <f t="shared" si="34"/>
        <v>1.3611321897554386E-2</v>
      </c>
      <c r="K96" s="16">
        <f t="shared" si="36"/>
        <v>0</v>
      </c>
      <c r="L96" s="17">
        <f t="shared" si="36"/>
        <v>0</v>
      </c>
    </row>
    <row r="97" spans="1:13" ht="16.5" customHeight="1" outlineLevel="1" x14ac:dyDescent="0.3">
      <c r="A97" s="4"/>
      <c r="B97" s="37"/>
      <c r="C97" s="38" t="s">
        <v>127</v>
      </c>
      <c r="D97" s="39"/>
      <c r="E97" s="11">
        <f>SUM(F97:H97)</f>
        <v>104900</v>
      </c>
      <c r="F97" s="12">
        <f>SUMIFS('2월'!$I:$I,'2월'!$D:$D,C97,'2월'!$C:$C,$F$2)</f>
        <v>104900</v>
      </c>
      <c r="G97" s="13">
        <f>SUMIFS('2월'!$I:$I,'2월'!$D:$D,C97,'2월'!$C:$C,$G$2)</f>
        <v>0</v>
      </c>
      <c r="H97" s="14">
        <f>SUMIFS('2월'!$I:$I,'2월'!$D:$D,C97,'2월'!$C:$C,$H$2)</f>
        <v>0</v>
      </c>
      <c r="J97" s="15">
        <f t="shared" si="34"/>
        <v>1.3729112183206299E-2</v>
      </c>
      <c r="K97" s="16">
        <f t="shared" si="36"/>
        <v>0</v>
      </c>
      <c r="L97" s="17">
        <f t="shared" si="36"/>
        <v>0</v>
      </c>
    </row>
    <row r="98" spans="1:13" ht="16.5" customHeight="1" x14ac:dyDescent="0.3">
      <c r="A98" s="4"/>
      <c r="B98" s="37"/>
      <c r="C98" s="38" t="s">
        <v>128</v>
      </c>
      <c r="D98" s="39"/>
      <c r="E98" s="11">
        <f>SUM(F98:H98)</f>
        <v>0</v>
      </c>
      <c r="F98" s="12">
        <f>SUMIFS('2월'!$I:$I,'2월'!$D:$D,C98,'2월'!$C:$C,$F$2)</f>
        <v>0</v>
      </c>
      <c r="G98" s="13">
        <f>SUMIFS('2월'!$I:$I,'2월'!$D:$D,C98,'2월'!$C:$C,$G$2)</f>
        <v>0</v>
      </c>
      <c r="H98" s="14">
        <f>SUMIFS('2월'!$I:$I,'2월'!$D:$D,C98,'2월'!$C:$C,$H$2)</f>
        <v>0</v>
      </c>
      <c r="J98" s="15">
        <f t="shared" si="34"/>
        <v>0</v>
      </c>
      <c r="K98" s="16">
        <f t="shared" si="36"/>
        <v>0</v>
      </c>
      <c r="L98" s="17">
        <f t="shared" si="36"/>
        <v>0</v>
      </c>
    </row>
    <row r="99" spans="1:13" ht="17.25" thickBot="1" x14ac:dyDescent="0.35">
      <c r="B99" s="19"/>
      <c r="C99" s="20"/>
      <c r="D99" s="21"/>
      <c r="E99" s="22"/>
      <c r="F99" s="23">
        <f>SUMIFS('2월'!$I:$I,'2월'!$D:$D,C99,'2월'!$C:$C,$F$2)</f>
        <v>0</v>
      </c>
      <c r="G99" s="24">
        <f>SUMIFS('2월'!$I:$I,'2월'!$D:$D,C99,'2월'!$C:$C,$G$2)</f>
        <v>0</v>
      </c>
      <c r="H99" s="25">
        <f>SUMIFS('2월'!$I:$I,'2월'!$D:$D,C99,'2월'!$C:$C,$H$2)</f>
        <v>0</v>
      </c>
      <c r="J99" s="26">
        <f t="shared" ref="J99:J100" si="37">IF(ISERROR(F99/$E$100),,(F99/$E$100))</f>
        <v>0</v>
      </c>
      <c r="K99" s="27">
        <f t="shared" ref="K99:K100" si="38">IF(ISERROR(G99/$E$100),,(G99/$E$100))</f>
        <v>0</v>
      </c>
      <c r="L99" s="28">
        <f t="shared" ref="L99:L100" si="39">IF(ISERROR(H99/$E$100),,(H99/$E$100))</f>
        <v>0</v>
      </c>
    </row>
    <row r="100" spans="1:13" ht="17.25" thickTop="1" x14ac:dyDescent="0.3">
      <c r="A100" s="4" t="s">
        <v>129</v>
      </c>
      <c r="B100" s="29"/>
      <c r="C100" s="30"/>
      <c r="D100" s="31"/>
      <c r="E100" s="32">
        <f>+E11+E12+E20+E21+E23+E28+E30+E34+E39+E41++E44+E57+E64+E71+E81+E88+E94</f>
        <v>7640698</v>
      </c>
      <c r="F100" s="33">
        <f>+F11+F12+F20+F21+F23+F28+F30+F34+F39+F41++F44+F57+F64+F71+F81+F88+F94</f>
        <v>6813126</v>
      </c>
      <c r="G100" s="34">
        <f>+G11+G12+G20+G21+G23+G28+G30+G34+G39+G41++G44+G57+G64+G71+G81+G88+G94</f>
        <v>254720</v>
      </c>
      <c r="H100" s="35">
        <f>+H11+H12+H20+H21+H23+H28+H30+H34+H39+H41++H44+H57+H64+H71+H81+H88+H94</f>
        <v>572852</v>
      </c>
      <c r="J100" s="15">
        <f t="shared" si="37"/>
        <v>0.89168895302497231</v>
      </c>
      <c r="K100" s="16">
        <f t="shared" si="38"/>
        <v>3.333726840139474E-2</v>
      </c>
      <c r="L100" s="17">
        <f t="shared" si="39"/>
        <v>7.4973778573632938E-2</v>
      </c>
    </row>
    <row r="101" spans="1:13" x14ac:dyDescent="0.3">
      <c r="A101" s="4"/>
      <c r="B101" s="4"/>
      <c r="J101" s="40">
        <f>+J100-SUM(J10:J99)</f>
        <v>0.53634236034456539</v>
      </c>
      <c r="K101" s="40">
        <f>+K100-SUM(K10:K99)</f>
        <v>0</v>
      </c>
      <c r="L101" s="40">
        <f>+L100-SUM(L10:L99)</f>
        <v>0</v>
      </c>
    </row>
    <row r="102" spans="1:13" x14ac:dyDescent="0.3">
      <c r="A102" s="4" t="s">
        <v>130</v>
      </c>
      <c r="B102" s="4"/>
      <c r="E102" s="41">
        <f>+E9-E100</f>
        <v>11154146</v>
      </c>
      <c r="F102" s="12">
        <f>+F9-F100</f>
        <v>-234971</v>
      </c>
      <c r="G102" s="13">
        <f>+G9-G100</f>
        <v>6220944</v>
      </c>
      <c r="H102" s="14">
        <f>+H9-H100</f>
        <v>5168173</v>
      </c>
    </row>
    <row r="103" spans="1:13" x14ac:dyDescent="0.3">
      <c r="B103" t="s">
        <v>131</v>
      </c>
      <c r="J103" s="2" t="s">
        <v>187</v>
      </c>
      <c r="K103" s="2">
        <f>SUMIFS('2월'!$I:$I,'2월'!J:J,J103)</f>
        <v>444900</v>
      </c>
      <c r="L103" s="56">
        <f t="shared" ref="L103" si="40">+K103-M103</f>
        <v>0</v>
      </c>
      <c r="M103" s="57">
        <v>444900</v>
      </c>
    </row>
    <row r="104" spans="1:13" x14ac:dyDescent="0.3">
      <c r="D104" s="2" t="s">
        <v>132</v>
      </c>
      <c r="J104" s="2" t="s">
        <v>133</v>
      </c>
      <c r="K104" s="2">
        <f>SUMIFS('2월'!$I:$I,'2월'!J:J,J104)</f>
        <v>0</v>
      </c>
      <c r="L104" s="56">
        <f t="shared" ref="L104" si="41">+K104-M104</f>
        <v>0</v>
      </c>
      <c r="M104" s="57">
        <v>0</v>
      </c>
    </row>
    <row r="105" spans="1:13" x14ac:dyDescent="0.3">
      <c r="D105" s="2" t="s">
        <v>134</v>
      </c>
      <c r="G105" s="2" t="s">
        <v>135</v>
      </c>
      <c r="H105" s="2">
        <f>SUMIFS('2월'!$I:$I,'2월'!J:J,G105)</f>
        <v>-2183155</v>
      </c>
      <c r="J105" s="2" t="s">
        <v>136</v>
      </c>
      <c r="K105" s="2">
        <f>SUMIFS('2월'!$I:$I,'2월'!J:J,J105)</f>
        <v>0</v>
      </c>
      <c r="L105" s="56">
        <f>+K105-M105</f>
        <v>0</v>
      </c>
      <c r="M105" s="57">
        <v>0</v>
      </c>
    </row>
    <row r="106" spans="1:13" x14ac:dyDescent="0.3">
      <c r="D106" s="2" t="s">
        <v>137</v>
      </c>
      <c r="H106" s="2">
        <f>SUMIFS('2월'!$I:$I,'2월'!J:J,G106)</f>
        <v>0</v>
      </c>
      <c r="J106" s="2" t="s">
        <v>201</v>
      </c>
      <c r="K106" s="2">
        <f>SUMIFS('2월'!$I:$I,'2월'!J:J,J106)</f>
        <v>507367</v>
      </c>
      <c r="L106" s="56">
        <f t="shared" ref="L106:L116" si="42">+K106-M106</f>
        <v>0</v>
      </c>
      <c r="M106" s="58">
        <v>507367</v>
      </c>
    </row>
    <row r="107" spans="1:13" x14ac:dyDescent="0.3">
      <c r="D107" s="2" t="s">
        <v>138</v>
      </c>
      <c r="G107" s="2" t="s">
        <v>139</v>
      </c>
      <c r="H107" s="2">
        <f>SUMIFS('2월'!$I:$I,'2월'!J:J,G107)</f>
        <v>26320</v>
      </c>
      <c r="J107" s="2" t="s">
        <v>140</v>
      </c>
      <c r="K107" s="2">
        <f>SUMIFS('2월'!$I:$I,'2월'!J:J,J107)</f>
        <v>-4031180</v>
      </c>
      <c r="L107" s="56">
        <f t="shared" si="42"/>
        <v>0</v>
      </c>
      <c r="M107" s="57">
        <v>-4031180</v>
      </c>
    </row>
    <row r="108" spans="1:13" x14ac:dyDescent="0.3">
      <c r="C108" s="53">
        <v>44780</v>
      </c>
      <c r="D108" s="2" t="s">
        <v>141</v>
      </c>
      <c r="G108" s="2" t="s">
        <v>142</v>
      </c>
      <c r="H108" s="2">
        <f>SUMIFS('2월'!$I:$I,'2월'!J:J,G108)</f>
        <v>0</v>
      </c>
      <c r="J108" s="2" t="s">
        <v>143</v>
      </c>
      <c r="K108" s="2">
        <f>SUMIFS('2월'!$I:$I,'2월'!J:J,J108)</f>
        <v>0</v>
      </c>
      <c r="L108" s="56">
        <f t="shared" si="42"/>
        <v>0</v>
      </c>
      <c r="M108" s="58">
        <v>0</v>
      </c>
    </row>
    <row r="109" spans="1:13" x14ac:dyDescent="0.3">
      <c r="C109" s="53">
        <v>44780</v>
      </c>
      <c r="D109" s="2" t="s">
        <v>144</v>
      </c>
      <c r="G109" s="2" t="s">
        <v>145</v>
      </c>
      <c r="H109" s="2">
        <f>SUMIFS('2월'!$I:$I,'2월'!J:J,G109)</f>
        <v>0</v>
      </c>
      <c r="J109" s="2" t="s">
        <v>146</v>
      </c>
      <c r="K109" s="2">
        <f>SUMIFS('2월'!$I:$I,'2월'!J:J,J109)</f>
        <v>374286</v>
      </c>
      <c r="L109" s="56">
        <f t="shared" si="42"/>
        <v>0</v>
      </c>
      <c r="M109" s="57">
        <v>374286</v>
      </c>
    </row>
    <row r="110" spans="1:13" ht="17.25" thickBot="1" x14ac:dyDescent="0.35">
      <c r="C110" s="53">
        <v>44780</v>
      </c>
      <c r="D110" s="2" t="s">
        <v>147</v>
      </c>
      <c r="G110" s="42" t="s">
        <v>148</v>
      </c>
      <c r="H110" s="42">
        <f>SUMIFS('2월'!$I:$I,'2월'!J:J,G110)</f>
        <v>-5917984</v>
      </c>
      <c r="J110" s="42" t="s">
        <v>149</v>
      </c>
      <c r="K110" s="42">
        <f>SUMIFS('2월'!$I:$I,'2월'!J:J,J110)</f>
        <v>-367200</v>
      </c>
      <c r="L110" s="56">
        <f t="shared" si="42"/>
        <v>0</v>
      </c>
      <c r="M110" s="57">
        <v>-367200</v>
      </c>
    </row>
    <row r="111" spans="1:13" ht="17.25" thickTop="1" x14ac:dyDescent="0.3">
      <c r="C111" s="53">
        <v>44780</v>
      </c>
      <c r="D111" s="2" t="s">
        <v>150</v>
      </c>
      <c r="F111" s="2">
        <f>+H105+H111+K111-E100+E9</f>
        <v>7500</v>
      </c>
      <c r="G111" s="2" t="s">
        <v>151</v>
      </c>
      <c r="H111" s="2">
        <f>SUM(H106:H110)</f>
        <v>-5891664</v>
      </c>
      <c r="J111" s="2" t="s">
        <v>151</v>
      </c>
      <c r="K111" s="2">
        <f>SUM(K103:K110)</f>
        <v>-3071827</v>
      </c>
      <c r="L111" s="56">
        <f t="shared" si="42"/>
        <v>0</v>
      </c>
      <c r="M111" s="57">
        <v>-3071827</v>
      </c>
    </row>
    <row r="112" spans="1:13" x14ac:dyDescent="0.3">
      <c r="C112" s="53">
        <v>45051</v>
      </c>
      <c r="D112" s="2" t="s">
        <v>152</v>
      </c>
      <c r="L112" s="56">
        <f t="shared" si="42"/>
        <v>0</v>
      </c>
      <c r="M112" s="58"/>
    </row>
    <row r="113" spans="3:13" ht="17.25" customHeight="1" x14ac:dyDescent="0.3">
      <c r="C113" s="53">
        <v>45200</v>
      </c>
      <c r="D113" s="50" t="s">
        <v>153</v>
      </c>
      <c r="K113" s="2"/>
      <c r="L113" s="56">
        <f t="shared" si="42"/>
        <v>0</v>
      </c>
      <c r="M113" s="58"/>
    </row>
    <row r="114" spans="3:13" x14ac:dyDescent="0.3">
      <c r="C114" s="53">
        <v>45200</v>
      </c>
      <c r="D114" s="54" t="s">
        <v>154</v>
      </c>
      <c r="G114" s="2" t="s">
        <v>155</v>
      </c>
      <c r="H114" s="2">
        <f>H111+G9</f>
        <v>584000</v>
      </c>
      <c r="K114" s="2">
        <f>K111+H9+K113</f>
        <v>2669198</v>
      </c>
      <c r="L114" s="56">
        <f t="shared" si="42"/>
        <v>0</v>
      </c>
      <c r="M114" s="57">
        <v>2669198</v>
      </c>
    </row>
    <row r="115" spans="3:13" x14ac:dyDescent="0.3">
      <c r="C115" s="53">
        <v>45235</v>
      </c>
      <c r="D115" s="54" t="s">
        <v>156</v>
      </c>
      <c r="G115" s="2" t="s">
        <v>157</v>
      </c>
      <c r="H115" s="2">
        <v>0</v>
      </c>
      <c r="K115" s="2">
        <v>0</v>
      </c>
      <c r="L115" s="56">
        <f t="shared" si="42"/>
        <v>0</v>
      </c>
      <c r="M115" s="58">
        <v>0</v>
      </c>
    </row>
    <row r="116" spans="3:13" x14ac:dyDescent="0.3">
      <c r="C116" s="53">
        <v>45235</v>
      </c>
      <c r="D116" s="54" t="s">
        <v>158</v>
      </c>
      <c r="G116" s="2" t="s">
        <v>159</v>
      </c>
      <c r="H116" s="2">
        <f>+H114+H115</f>
        <v>584000</v>
      </c>
      <c r="K116" s="2">
        <f>+K114+K115</f>
        <v>2669198</v>
      </c>
      <c r="L116" s="56">
        <f t="shared" si="42"/>
        <v>0</v>
      </c>
      <c r="M116" s="57">
        <v>2669198</v>
      </c>
    </row>
    <row r="117" spans="3:13" x14ac:dyDescent="0.3">
      <c r="C117" s="53">
        <v>45332</v>
      </c>
      <c r="D117" s="54" t="s">
        <v>160</v>
      </c>
      <c r="L117" s="59"/>
      <c r="M117" s="58"/>
    </row>
    <row r="118" spans="3:13" x14ac:dyDescent="0.3">
      <c r="C118" s="53">
        <v>45332</v>
      </c>
      <c r="D118" s="54" t="s">
        <v>161</v>
      </c>
      <c r="F118" s="2" t="b">
        <f>F111=H118+K118</f>
        <v>1</v>
      </c>
      <c r="G118" s="2" t="s">
        <v>162</v>
      </c>
      <c r="H118" s="2">
        <f>SUMIFS('2월'!$I:$I,'2월'!$D:$D,G118,'2월'!$C:$C,$G$2)</f>
        <v>7500</v>
      </c>
      <c r="J118" s="2" t="s">
        <v>162</v>
      </c>
      <c r="K118" s="2">
        <f>SUMIFS('2월'!$I:$I,'2월'!$D:$D,J118,'2월'!$C:$C,$H$2)</f>
        <v>0</v>
      </c>
      <c r="L118" s="59"/>
      <c r="M118" s="58">
        <v>0</v>
      </c>
    </row>
    <row r="119" spans="3:13" x14ac:dyDescent="0.3">
      <c r="C119" s="53">
        <v>45354</v>
      </c>
      <c r="D119" s="54" t="s">
        <v>163</v>
      </c>
      <c r="F119" s="2">
        <f>F111-H118-K118</f>
        <v>0</v>
      </c>
      <c r="H119" s="2">
        <f>H116-H118</f>
        <v>576500</v>
      </c>
      <c r="J119" s="2"/>
      <c r="K119" s="2">
        <f>K116-K118</f>
        <v>2669198</v>
      </c>
      <c r="L119" s="59"/>
      <c r="M119" s="57">
        <v>2669198</v>
      </c>
    </row>
    <row r="120" spans="3:13" ht="18" customHeight="1" x14ac:dyDescent="0.3">
      <c r="C120" s="53">
        <v>45355</v>
      </c>
      <c r="D120" t="s">
        <v>164</v>
      </c>
    </row>
    <row r="121" spans="3:13" x14ac:dyDescent="0.3">
      <c r="C121" s="53">
        <v>45356</v>
      </c>
      <c r="D121" t="s">
        <v>165</v>
      </c>
      <c r="K121" s="2"/>
    </row>
    <row r="122" spans="3:13" x14ac:dyDescent="0.3">
      <c r="C122" s="53">
        <v>45356</v>
      </c>
      <c r="D122" t="s">
        <v>166</v>
      </c>
      <c r="K122" s="2"/>
    </row>
    <row r="123" spans="3:13" x14ac:dyDescent="0.3">
      <c r="C123" s="53">
        <v>45452</v>
      </c>
      <c r="D123" t="s">
        <v>167</v>
      </c>
    </row>
    <row r="124" spans="3:13" x14ac:dyDescent="0.3">
      <c r="C124" s="53">
        <v>45661</v>
      </c>
      <c r="D124" t="s">
        <v>168</v>
      </c>
    </row>
    <row r="125" spans="3:13" x14ac:dyDescent="0.3">
      <c r="C125" s="53">
        <v>45661</v>
      </c>
      <c r="D125" t="s">
        <v>169</v>
      </c>
    </row>
    <row r="126" spans="3:13" x14ac:dyDescent="0.3">
      <c r="C126" s="53">
        <v>45689</v>
      </c>
      <c r="D126" s="53" t="s">
        <v>170</v>
      </c>
    </row>
    <row r="127" spans="3:13" x14ac:dyDescent="0.3">
      <c r="C127" s="53">
        <v>45781</v>
      </c>
      <c r="D127" t="s">
        <v>171</v>
      </c>
    </row>
    <row r="128" spans="3:13" x14ac:dyDescent="0.3">
      <c r="C128" s="53">
        <v>46061</v>
      </c>
      <c r="D128" s="1" t="s">
        <v>205</v>
      </c>
    </row>
    <row r="129" spans="4:4" x14ac:dyDescent="0.3">
      <c r="D129" s="1" t="s">
        <v>206</v>
      </c>
    </row>
  </sheetData>
  <mergeCells count="3">
    <mergeCell ref="F1:H1"/>
    <mergeCell ref="J1:L1"/>
    <mergeCell ref="N1:N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6"/>
  <sheetViews>
    <sheetView tabSelected="1" zoomScale="115" zoomScaleNormal="115" workbookViewId="0">
      <pane ySplit="2" topLeftCell="A22" activePane="bottomLeft" state="frozen"/>
      <selection activeCell="F232" sqref="F232"/>
      <selection pane="bottomLeft" activeCell="D25" sqref="D25"/>
    </sheetView>
  </sheetViews>
  <sheetFormatPr defaultColWidth="9" defaultRowHeight="16.5" x14ac:dyDescent="0.3"/>
  <cols>
    <col min="1" max="1" width="10.375" style="9" bestFit="1" customWidth="1"/>
    <col min="2" max="2" width="13.875" style="47" customWidth="1"/>
    <col min="3" max="3" width="6.125" style="9" customWidth="1"/>
    <col min="4" max="4" width="9" style="9" customWidth="1"/>
    <col min="5" max="5" width="10.875" style="49" customWidth="1"/>
    <col min="6" max="6" width="36.5" style="47" customWidth="1"/>
    <col min="7" max="7" width="10.125" style="48" customWidth="1"/>
    <col min="8" max="8" width="3.5" style="48" customWidth="1"/>
    <col min="9" max="9" width="11.5" style="49" customWidth="1"/>
    <col min="10" max="10" width="7.625" style="47" customWidth="1"/>
    <col min="11" max="11" width="3" style="47" customWidth="1"/>
    <col min="12" max="12" width="1.5" customWidth="1"/>
    <col min="13" max="13" width="11.875" bestFit="1" customWidth="1"/>
    <col min="14" max="14" width="10.875" customWidth="1"/>
    <col min="15" max="15" width="1.5" customWidth="1"/>
    <col min="17" max="17" width="34" bestFit="1" customWidth="1"/>
    <col min="21" max="21" width="9.5" bestFit="1" customWidth="1"/>
  </cols>
  <sheetData>
    <row r="1" spans="1:21" x14ac:dyDescent="0.3">
      <c r="A1" s="43" t="s">
        <v>172</v>
      </c>
      <c r="B1" s="43" t="s">
        <v>173</v>
      </c>
      <c r="C1" s="43" t="s">
        <v>174</v>
      </c>
      <c r="D1" s="43" t="s">
        <v>11</v>
      </c>
      <c r="E1" s="45" t="s">
        <v>175</v>
      </c>
      <c r="F1" s="43" t="s">
        <v>176</v>
      </c>
      <c r="G1" s="45" t="s">
        <v>177</v>
      </c>
      <c r="H1" s="45" t="s">
        <v>178</v>
      </c>
      <c r="I1" s="45" t="s">
        <v>179</v>
      </c>
      <c r="J1" s="43" t="s">
        <v>180</v>
      </c>
      <c r="K1" s="43" t="s">
        <v>181</v>
      </c>
      <c r="M1" s="46">
        <f>SUM(E:E)</f>
        <v>-11146646</v>
      </c>
      <c r="N1" s="46">
        <f>+M1-'2월(집계)'!E100+'2월(집계)'!E9</f>
        <v>7500</v>
      </c>
    </row>
    <row r="2" spans="1:21" x14ac:dyDescent="0.3">
      <c r="A2" s="43"/>
      <c r="B2" s="44"/>
      <c r="C2" s="43"/>
      <c r="D2" s="43"/>
      <c r="E2" s="45"/>
      <c r="F2" s="43"/>
      <c r="G2" s="45"/>
      <c r="H2" s="45"/>
      <c r="I2" s="45"/>
      <c r="J2" s="43"/>
      <c r="K2" s="43"/>
    </row>
    <row r="3" spans="1:21" x14ac:dyDescent="0.3">
      <c r="A3" s="52">
        <v>46054</v>
      </c>
      <c r="B3" s="47" t="s">
        <v>207</v>
      </c>
      <c r="C3" s="9" t="s">
        <v>208</v>
      </c>
      <c r="D3" s="9" t="s">
        <v>209</v>
      </c>
      <c r="E3" s="49">
        <f t="shared" ref="E3:E121" si="0">SUM(I3:I3)</f>
        <v>24900</v>
      </c>
      <c r="F3" s="47" t="s">
        <v>347</v>
      </c>
      <c r="G3" s="48">
        <v>24900</v>
      </c>
      <c r="H3" s="48">
        <v>1</v>
      </c>
      <c r="I3" s="49">
        <f t="shared" ref="I3:I122" si="1">G3*H3</f>
        <v>24900</v>
      </c>
      <c r="J3" s="47" t="s">
        <v>217</v>
      </c>
      <c r="K3" s="47">
        <v>0</v>
      </c>
      <c r="P3" s="18" t="s">
        <v>34</v>
      </c>
      <c r="Q3" s="36"/>
    </row>
    <row r="4" spans="1:21" x14ac:dyDescent="0.3">
      <c r="A4" s="52">
        <v>46055</v>
      </c>
      <c r="B4" s="47" t="s">
        <v>323</v>
      </c>
      <c r="C4" s="9" t="s">
        <v>13</v>
      </c>
      <c r="D4" s="9" t="s">
        <v>324</v>
      </c>
      <c r="E4" s="49">
        <f t="shared" ref="E4" si="2">SUM(I4:I4)</f>
        <v>-6000000</v>
      </c>
      <c r="F4" s="47" t="s">
        <v>325</v>
      </c>
      <c r="G4" s="48">
        <v>-6000000</v>
      </c>
      <c r="H4" s="48">
        <v>1</v>
      </c>
      <c r="I4" s="49">
        <f t="shared" si="1"/>
        <v>-6000000</v>
      </c>
      <c r="J4" s="47" t="s">
        <v>135</v>
      </c>
      <c r="P4" s="18" t="s">
        <v>35</v>
      </c>
      <c r="Q4" s="36" t="s">
        <v>36</v>
      </c>
    </row>
    <row r="5" spans="1:21" x14ac:dyDescent="0.3">
      <c r="A5" s="52">
        <v>46055</v>
      </c>
      <c r="B5" s="47" t="s">
        <v>323</v>
      </c>
      <c r="C5" s="9" t="s">
        <v>13</v>
      </c>
      <c r="D5" s="9" t="s">
        <v>326</v>
      </c>
      <c r="E5" s="49">
        <f t="shared" ref="E5" si="3">I5</f>
        <v>-178155</v>
      </c>
      <c r="F5" s="47">
        <v>3.5000000000000003E-2</v>
      </c>
      <c r="G5" s="48">
        <f>-6178155-G4</f>
        <v>-178155</v>
      </c>
      <c r="H5" s="48">
        <v>1</v>
      </c>
      <c r="I5" s="49">
        <f t="shared" si="1"/>
        <v>-178155</v>
      </c>
      <c r="J5" s="47" t="s">
        <v>322</v>
      </c>
      <c r="P5" s="18" t="s">
        <v>37</v>
      </c>
      <c r="Q5" s="36"/>
    </row>
    <row r="6" spans="1:21" x14ac:dyDescent="0.3">
      <c r="A6" s="52">
        <v>46055</v>
      </c>
      <c r="B6" s="47" t="s">
        <v>211</v>
      </c>
      <c r="C6" s="9" t="s">
        <v>208</v>
      </c>
      <c r="D6" s="9" t="s">
        <v>212</v>
      </c>
      <c r="E6" s="49">
        <f t="shared" si="0"/>
        <v>51500</v>
      </c>
      <c r="G6" s="48">
        <v>51500</v>
      </c>
      <c r="H6" s="48">
        <v>1</v>
      </c>
      <c r="I6" s="49">
        <f t="shared" si="1"/>
        <v>51500</v>
      </c>
      <c r="J6" s="47" t="s">
        <v>213</v>
      </c>
      <c r="P6" s="18"/>
      <c r="Q6" s="36"/>
    </row>
    <row r="7" spans="1:21" x14ac:dyDescent="0.3">
      <c r="A7" s="52">
        <v>46055</v>
      </c>
      <c r="B7" s="60" t="s">
        <v>214</v>
      </c>
      <c r="C7" s="9" t="s">
        <v>215</v>
      </c>
      <c r="D7" s="9" t="s">
        <v>203</v>
      </c>
      <c r="E7" s="49">
        <f t="shared" si="0"/>
        <v>7800</v>
      </c>
      <c r="F7" s="47" t="s">
        <v>336</v>
      </c>
      <c r="G7" s="48">
        <v>7800</v>
      </c>
      <c r="H7" s="48">
        <v>1</v>
      </c>
      <c r="I7" s="49">
        <f t="shared" si="1"/>
        <v>7800</v>
      </c>
      <c r="J7" s="47" t="s">
        <v>216</v>
      </c>
      <c r="K7" s="47">
        <v>0</v>
      </c>
      <c r="P7" s="18" t="s">
        <v>38</v>
      </c>
      <c r="Q7" s="36" t="s">
        <v>39</v>
      </c>
      <c r="U7" s="53">
        <v>45870</v>
      </c>
    </row>
    <row r="8" spans="1:21" x14ac:dyDescent="0.3">
      <c r="A8" s="52">
        <v>46055</v>
      </c>
      <c r="B8" s="47" t="s">
        <v>218</v>
      </c>
      <c r="C8" s="9" t="s">
        <v>219</v>
      </c>
      <c r="D8" s="9" t="s">
        <v>334</v>
      </c>
      <c r="E8" s="49">
        <f>SUM(I8:I9)</f>
        <v>19000</v>
      </c>
      <c r="F8" s="47" t="s">
        <v>335</v>
      </c>
      <c r="G8" s="48">
        <v>15000</v>
      </c>
      <c r="H8" s="48">
        <v>1</v>
      </c>
      <c r="I8" s="49">
        <f t="shared" si="1"/>
        <v>15000</v>
      </c>
      <c r="J8" s="47" t="s">
        <v>213</v>
      </c>
      <c r="P8" s="18"/>
      <c r="Q8" s="36"/>
      <c r="U8" s="53">
        <v>45871</v>
      </c>
    </row>
    <row r="9" spans="1:21" x14ac:dyDescent="0.3">
      <c r="A9" s="52">
        <v>46055</v>
      </c>
      <c r="B9" s="47" t="s">
        <v>218</v>
      </c>
      <c r="C9" s="9" t="s">
        <v>14</v>
      </c>
      <c r="D9" s="9" t="s">
        <v>162</v>
      </c>
      <c r="G9" s="48">
        <f>19000-G8</f>
        <v>4000</v>
      </c>
      <c r="H9" s="48">
        <v>1</v>
      </c>
      <c r="I9" s="49">
        <f t="shared" ref="I9" si="4">G9*H9</f>
        <v>4000</v>
      </c>
      <c r="J9" s="47" t="s">
        <v>146</v>
      </c>
      <c r="P9" s="3" t="s">
        <v>40</v>
      </c>
      <c r="Q9" s="36"/>
      <c r="U9" s="53">
        <v>45872</v>
      </c>
    </row>
    <row r="10" spans="1:21" x14ac:dyDescent="0.3">
      <c r="A10" s="52">
        <v>46055</v>
      </c>
      <c r="B10" s="47" t="s">
        <v>220</v>
      </c>
      <c r="C10" s="9" t="s">
        <v>219</v>
      </c>
      <c r="D10" s="9" t="s">
        <v>209</v>
      </c>
      <c r="E10" s="49">
        <f t="shared" si="0"/>
        <v>12300</v>
      </c>
      <c r="F10" s="47" t="s">
        <v>338</v>
      </c>
      <c r="G10" s="48">
        <v>12300</v>
      </c>
      <c r="H10" s="48">
        <v>1</v>
      </c>
      <c r="I10" s="49">
        <f t="shared" si="1"/>
        <v>12300</v>
      </c>
      <c r="J10" s="47" t="s">
        <v>217</v>
      </c>
      <c r="K10" s="47">
        <v>0</v>
      </c>
      <c r="P10" s="3" t="s">
        <v>41</v>
      </c>
      <c r="Q10" s="36"/>
      <c r="U10" s="53">
        <v>45873</v>
      </c>
    </row>
    <row r="11" spans="1:21" x14ac:dyDescent="0.3">
      <c r="A11" s="52">
        <v>46055</v>
      </c>
      <c r="B11" s="47" t="s">
        <v>319</v>
      </c>
      <c r="C11" s="9" t="s">
        <v>190</v>
      </c>
      <c r="D11" s="9" t="s">
        <v>320</v>
      </c>
      <c r="E11" s="49">
        <f t="shared" ref="E11" si="5">SUM(I11:I11)</f>
        <v>311930</v>
      </c>
      <c r="F11" s="47" t="s">
        <v>372</v>
      </c>
      <c r="G11" s="48">
        <v>311930</v>
      </c>
      <c r="H11" s="48">
        <v>1</v>
      </c>
      <c r="I11" s="49">
        <f t="shared" si="1"/>
        <v>311930</v>
      </c>
      <c r="J11" s="47" t="s">
        <v>148</v>
      </c>
      <c r="P11" s="3" t="s">
        <v>42</v>
      </c>
      <c r="Q11" s="36"/>
      <c r="U11" s="53">
        <v>45874</v>
      </c>
    </row>
    <row r="12" spans="1:21" x14ac:dyDescent="0.3">
      <c r="A12" s="52">
        <v>46056</v>
      </c>
      <c r="B12" s="47" t="s">
        <v>211</v>
      </c>
      <c r="C12" s="9" t="s">
        <v>208</v>
      </c>
      <c r="D12" s="9" t="s">
        <v>212</v>
      </c>
      <c r="E12" s="49">
        <f t="shared" si="0"/>
        <v>52500</v>
      </c>
      <c r="F12" s="47" t="s">
        <v>221</v>
      </c>
      <c r="G12" s="48">
        <v>52500</v>
      </c>
      <c r="H12" s="48">
        <v>1</v>
      </c>
      <c r="I12" s="49">
        <f t="shared" si="1"/>
        <v>52500</v>
      </c>
      <c r="J12" s="47" t="s">
        <v>213</v>
      </c>
      <c r="P12" s="18" t="s">
        <v>193</v>
      </c>
      <c r="Q12" s="36"/>
      <c r="U12" s="53">
        <v>45875</v>
      </c>
    </row>
    <row r="13" spans="1:21" x14ac:dyDescent="0.3">
      <c r="A13" s="52">
        <v>46056</v>
      </c>
      <c r="B13" s="47" t="s">
        <v>214</v>
      </c>
      <c r="C13" s="9" t="s">
        <v>215</v>
      </c>
      <c r="D13" s="9" t="s">
        <v>203</v>
      </c>
      <c r="E13" s="49">
        <f t="shared" si="0"/>
        <v>7600</v>
      </c>
      <c r="F13" s="47" t="s">
        <v>337</v>
      </c>
      <c r="G13" s="48">
        <v>7600</v>
      </c>
      <c r="H13" s="48">
        <v>1</v>
      </c>
      <c r="I13" s="49">
        <f t="shared" si="1"/>
        <v>7600</v>
      </c>
      <c r="J13" s="47" t="s">
        <v>216</v>
      </c>
      <c r="K13" s="47">
        <v>0</v>
      </c>
      <c r="P13" s="18" t="s">
        <v>44</v>
      </c>
      <c r="Q13" s="36"/>
      <c r="U13" s="53">
        <v>45876</v>
      </c>
    </row>
    <row r="14" spans="1:21" x14ac:dyDescent="0.3">
      <c r="A14" s="52">
        <v>46056</v>
      </c>
      <c r="B14" s="47" t="s">
        <v>222</v>
      </c>
      <c r="C14" s="9" t="s">
        <v>215</v>
      </c>
      <c r="D14" s="9" t="s">
        <v>223</v>
      </c>
      <c r="E14" s="49">
        <f t="shared" si="0"/>
        <v>100900</v>
      </c>
      <c r="G14" s="48">
        <v>100900</v>
      </c>
      <c r="H14" s="48">
        <v>1</v>
      </c>
      <c r="I14" s="49">
        <f t="shared" si="1"/>
        <v>100900</v>
      </c>
      <c r="J14" s="47" t="s">
        <v>217</v>
      </c>
      <c r="K14" s="47">
        <v>0</v>
      </c>
      <c r="P14" s="3" t="s">
        <v>46</v>
      </c>
      <c r="Q14" s="36"/>
      <c r="U14" s="53">
        <v>45877</v>
      </c>
    </row>
    <row r="15" spans="1:21" x14ac:dyDescent="0.3">
      <c r="A15" s="52">
        <v>46056</v>
      </c>
      <c r="B15" s="47" t="s">
        <v>224</v>
      </c>
      <c r="C15" s="9" t="s">
        <v>215</v>
      </c>
      <c r="D15" s="9" t="s">
        <v>332</v>
      </c>
      <c r="E15" s="49">
        <f t="shared" si="0"/>
        <v>4100</v>
      </c>
      <c r="F15" s="47" t="s">
        <v>333</v>
      </c>
      <c r="G15" s="48">
        <v>4100</v>
      </c>
      <c r="H15" s="48">
        <v>1</v>
      </c>
      <c r="I15" s="49">
        <f t="shared" si="1"/>
        <v>4100</v>
      </c>
      <c r="J15" s="47" t="s">
        <v>217</v>
      </c>
      <c r="K15" s="47">
        <v>0</v>
      </c>
      <c r="P15" s="3" t="s">
        <v>47</v>
      </c>
      <c r="Q15" s="36"/>
      <c r="U15" s="53">
        <v>45878</v>
      </c>
    </row>
    <row r="16" spans="1:21" x14ac:dyDescent="0.3">
      <c r="A16" s="52">
        <v>46056</v>
      </c>
      <c r="B16" s="47" t="s">
        <v>225</v>
      </c>
      <c r="C16" s="9" t="s">
        <v>215</v>
      </c>
      <c r="D16" s="9" t="s">
        <v>204</v>
      </c>
      <c r="E16" s="49">
        <f t="shared" si="0"/>
        <v>1000</v>
      </c>
      <c r="F16" s="47" t="s">
        <v>331</v>
      </c>
      <c r="G16" s="48">
        <v>1000</v>
      </c>
      <c r="H16" s="48">
        <v>1</v>
      </c>
      <c r="I16" s="49">
        <f t="shared" si="1"/>
        <v>1000</v>
      </c>
      <c r="J16" s="47" t="s">
        <v>217</v>
      </c>
      <c r="K16" s="47">
        <v>0</v>
      </c>
      <c r="P16" s="3"/>
      <c r="Q16" s="36"/>
      <c r="U16" s="53">
        <v>45879</v>
      </c>
    </row>
    <row r="17" spans="1:21" x14ac:dyDescent="0.3">
      <c r="A17" s="52">
        <v>46056</v>
      </c>
      <c r="B17" s="47" t="s">
        <v>226</v>
      </c>
      <c r="C17" s="9" t="s">
        <v>13</v>
      </c>
      <c r="D17" s="9" t="s">
        <v>227</v>
      </c>
      <c r="E17" s="49">
        <f>SUM(I17:I18)</f>
        <v>26600</v>
      </c>
      <c r="F17" s="47" t="s">
        <v>327</v>
      </c>
      <c r="G17" s="48">
        <v>8800</v>
      </c>
      <c r="H17" s="48">
        <v>1</v>
      </c>
      <c r="I17" s="49">
        <f t="shared" si="1"/>
        <v>8800</v>
      </c>
      <c r="J17" s="47" t="s">
        <v>210</v>
      </c>
      <c r="K17" s="47">
        <v>0</v>
      </c>
      <c r="P17" s="18" t="s">
        <v>48</v>
      </c>
      <c r="Q17" s="36"/>
      <c r="U17" s="53">
        <v>45880</v>
      </c>
    </row>
    <row r="18" spans="1:21" x14ac:dyDescent="0.3">
      <c r="A18" s="52">
        <v>46056</v>
      </c>
      <c r="B18" s="47" t="s">
        <v>226</v>
      </c>
      <c r="C18" s="9" t="s">
        <v>13</v>
      </c>
      <c r="D18" s="9" t="s">
        <v>227</v>
      </c>
      <c r="F18" s="47" t="s">
        <v>328</v>
      </c>
      <c r="G18" s="48">
        <v>17800</v>
      </c>
      <c r="H18" s="48">
        <v>1</v>
      </c>
      <c r="I18" s="49">
        <f t="shared" ref="I18" si="6">G18*H18</f>
        <v>17800</v>
      </c>
      <c r="J18" s="47" t="s">
        <v>140</v>
      </c>
      <c r="K18" s="47">
        <v>0</v>
      </c>
      <c r="P18" s="18" t="s">
        <v>49</v>
      </c>
      <c r="Q18" s="36"/>
      <c r="U18" s="53">
        <v>45881</v>
      </c>
    </row>
    <row r="19" spans="1:21" x14ac:dyDescent="0.3">
      <c r="A19" s="52">
        <v>46057</v>
      </c>
      <c r="B19" s="47" t="s">
        <v>214</v>
      </c>
      <c r="C19" s="9" t="s">
        <v>215</v>
      </c>
      <c r="D19" s="9" t="s">
        <v>203</v>
      </c>
      <c r="E19" s="49">
        <f t="shared" si="0"/>
        <v>7400</v>
      </c>
      <c r="F19" s="47" t="s">
        <v>329</v>
      </c>
      <c r="G19" s="48">
        <v>7400</v>
      </c>
      <c r="H19" s="48">
        <v>1</v>
      </c>
      <c r="I19" s="49">
        <f t="shared" si="1"/>
        <v>7400</v>
      </c>
      <c r="J19" s="47" t="s">
        <v>216</v>
      </c>
      <c r="K19" s="47">
        <v>0</v>
      </c>
      <c r="P19" s="3" t="s">
        <v>50</v>
      </c>
      <c r="Q19" s="36"/>
      <c r="U19" s="53">
        <v>45882</v>
      </c>
    </row>
    <row r="20" spans="1:21" x14ac:dyDescent="0.3">
      <c r="A20" s="52">
        <v>46057</v>
      </c>
      <c r="B20" s="47" t="s">
        <v>228</v>
      </c>
      <c r="C20" s="9" t="s">
        <v>215</v>
      </c>
      <c r="D20" s="9" t="s">
        <v>230</v>
      </c>
      <c r="E20" s="49">
        <f t="shared" si="0"/>
        <v>3400</v>
      </c>
      <c r="F20" s="47" t="s">
        <v>330</v>
      </c>
      <c r="G20" s="48">
        <v>3400</v>
      </c>
      <c r="H20" s="48">
        <v>1</v>
      </c>
      <c r="I20" s="49">
        <f t="shared" si="1"/>
        <v>3400</v>
      </c>
      <c r="J20" s="47" t="s">
        <v>216</v>
      </c>
      <c r="K20" s="47">
        <v>0</v>
      </c>
      <c r="P20" s="18" t="s">
        <v>53</v>
      </c>
      <c r="Q20" s="36"/>
      <c r="U20" s="53">
        <v>45883</v>
      </c>
    </row>
    <row r="21" spans="1:21" x14ac:dyDescent="0.3">
      <c r="A21" s="52">
        <v>46057</v>
      </c>
      <c r="B21" s="47" t="s">
        <v>231</v>
      </c>
      <c r="C21" s="9" t="s">
        <v>219</v>
      </c>
      <c r="D21" s="9" t="s">
        <v>209</v>
      </c>
      <c r="E21" s="49">
        <f t="shared" si="0"/>
        <v>12900</v>
      </c>
      <c r="F21" s="47" t="s">
        <v>346</v>
      </c>
      <c r="G21" s="48">
        <v>12900</v>
      </c>
      <c r="H21" s="48">
        <v>1</v>
      </c>
      <c r="I21" s="49">
        <f t="shared" si="1"/>
        <v>12900</v>
      </c>
      <c r="J21" s="47" t="s">
        <v>217</v>
      </c>
      <c r="K21" s="47">
        <v>0</v>
      </c>
      <c r="P21" s="18" t="s">
        <v>54</v>
      </c>
      <c r="Q21" s="36" t="s">
        <v>55</v>
      </c>
      <c r="U21" s="53">
        <v>45884</v>
      </c>
    </row>
    <row r="22" spans="1:21" x14ac:dyDescent="0.3">
      <c r="A22" s="52">
        <v>46057</v>
      </c>
      <c r="B22" s="47" t="s">
        <v>232</v>
      </c>
      <c r="C22" s="9" t="s">
        <v>219</v>
      </c>
      <c r="D22" s="9" t="s">
        <v>209</v>
      </c>
      <c r="E22" s="49">
        <f t="shared" si="0"/>
        <v>15000</v>
      </c>
      <c r="F22" s="47" t="s">
        <v>345</v>
      </c>
      <c r="G22" s="48">
        <v>15000</v>
      </c>
      <c r="H22" s="48">
        <v>1</v>
      </c>
      <c r="I22" s="49">
        <f t="shared" si="1"/>
        <v>15000</v>
      </c>
      <c r="J22" s="47" t="s">
        <v>217</v>
      </c>
      <c r="K22" s="47">
        <v>0</v>
      </c>
      <c r="P22" s="3" t="s">
        <v>56</v>
      </c>
      <c r="Q22" s="36" t="s">
        <v>57</v>
      </c>
      <c r="U22" s="53">
        <v>45885</v>
      </c>
    </row>
    <row r="23" spans="1:21" x14ac:dyDescent="0.3">
      <c r="A23" s="52">
        <v>46057</v>
      </c>
      <c r="B23" s="47" t="s">
        <v>222</v>
      </c>
      <c r="C23" s="9" t="s">
        <v>215</v>
      </c>
      <c r="D23" s="9" t="s">
        <v>223</v>
      </c>
      <c r="E23" s="49">
        <f t="shared" si="0"/>
        <v>14600</v>
      </c>
      <c r="G23" s="48">
        <v>14600</v>
      </c>
      <c r="H23" s="48">
        <v>1</v>
      </c>
      <c r="I23" s="49">
        <f t="shared" si="1"/>
        <v>14600</v>
      </c>
      <c r="J23" s="47" t="s">
        <v>216</v>
      </c>
      <c r="K23" s="47">
        <v>0</v>
      </c>
      <c r="P23" s="3" t="s">
        <v>58</v>
      </c>
      <c r="Q23" s="36" t="s">
        <v>59</v>
      </c>
      <c r="U23" s="53">
        <v>45886</v>
      </c>
    </row>
    <row r="24" spans="1:21" x14ac:dyDescent="0.3">
      <c r="A24" s="52">
        <v>46057</v>
      </c>
      <c r="C24" s="9" t="s">
        <v>215</v>
      </c>
      <c r="D24" s="9" t="s">
        <v>204</v>
      </c>
      <c r="E24" s="49">
        <f t="shared" si="0"/>
        <v>14900</v>
      </c>
      <c r="F24" s="47" t="s">
        <v>233</v>
      </c>
      <c r="G24" s="48">
        <v>14900</v>
      </c>
      <c r="H24" s="48">
        <v>1</v>
      </c>
      <c r="I24" s="49">
        <f t="shared" si="1"/>
        <v>14900</v>
      </c>
      <c r="J24" s="47" t="s">
        <v>210</v>
      </c>
      <c r="M24" t="s">
        <v>412</v>
      </c>
      <c r="P24" s="3" t="s">
        <v>60</v>
      </c>
      <c r="Q24" s="36"/>
      <c r="U24" s="53">
        <v>45887</v>
      </c>
    </row>
    <row r="25" spans="1:21" x14ac:dyDescent="0.3">
      <c r="A25" s="52">
        <v>46057</v>
      </c>
      <c r="B25" s="47" t="s">
        <v>234</v>
      </c>
      <c r="C25" s="9" t="s">
        <v>13</v>
      </c>
      <c r="D25" s="9" t="s">
        <v>227</v>
      </c>
      <c r="E25" s="49">
        <f t="shared" si="0"/>
        <v>23290</v>
      </c>
      <c r="F25" s="47" t="s">
        <v>418</v>
      </c>
      <c r="G25" s="48">
        <v>23290</v>
      </c>
      <c r="H25" s="48">
        <v>1</v>
      </c>
      <c r="I25" s="49">
        <f t="shared" si="1"/>
        <v>23290</v>
      </c>
      <c r="J25" s="47" t="s">
        <v>213</v>
      </c>
      <c r="M25" t="s">
        <v>412</v>
      </c>
      <c r="P25" s="18" t="s">
        <v>61</v>
      </c>
      <c r="Q25" s="36"/>
      <c r="U25" s="53">
        <v>45888</v>
      </c>
    </row>
    <row r="26" spans="1:21" x14ac:dyDescent="0.3">
      <c r="A26" s="52">
        <v>46058</v>
      </c>
      <c r="B26" s="47" t="s">
        <v>214</v>
      </c>
      <c r="C26" s="9" t="s">
        <v>215</v>
      </c>
      <c r="D26" s="9" t="s">
        <v>203</v>
      </c>
      <c r="E26" s="49">
        <f t="shared" si="0"/>
        <v>6800</v>
      </c>
      <c r="F26" s="47" t="s">
        <v>336</v>
      </c>
      <c r="G26" s="48">
        <v>6800</v>
      </c>
      <c r="H26" s="48">
        <v>1</v>
      </c>
      <c r="I26" s="49">
        <f t="shared" si="1"/>
        <v>6800</v>
      </c>
      <c r="J26" s="47" t="s">
        <v>210</v>
      </c>
      <c r="K26" s="47">
        <v>0</v>
      </c>
      <c r="P26" s="18" t="s">
        <v>62</v>
      </c>
      <c r="Q26" s="36"/>
      <c r="U26" s="53">
        <v>45889</v>
      </c>
    </row>
    <row r="27" spans="1:21" x14ac:dyDescent="0.3">
      <c r="A27" s="52">
        <v>46058</v>
      </c>
      <c r="B27" s="47" t="s">
        <v>237</v>
      </c>
      <c r="C27" s="9" t="s">
        <v>215</v>
      </c>
      <c r="D27" s="9" t="s">
        <v>230</v>
      </c>
      <c r="E27" s="49">
        <f t="shared" si="0"/>
        <v>2000</v>
      </c>
      <c r="G27" s="48">
        <v>2000</v>
      </c>
      <c r="H27" s="48">
        <v>1</v>
      </c>
      <c r="I27" s="49">
        <f t="shared" si="1"/>
        <v>2000</v>
      </c>
      <c r="J27" s="47" t="s">
        <v>210</v>
      </c>
      <c r="P27" s="18" t="s">
        <v>63</v>
      </c>
      <c r="Q27" s="36"/>
      <c r="U27" s="53">
        <v>45890</v>
      </c>
    </row>
    <row r="28" spans="1:21" ht="16.5" customHeight="1" x14ac:dyDescent="0.3">
      <c r="A28" s="52">
        <v>46058</v>
      </c>
      <c r="B28" s="47" t="s">
        <v>220</v>
      </c>
      <c r="C28" s="9" t="s">
        <v>219</v>
      </c>
      <c r="D28" s="9" t="s">
        <v>209</v>
      </c>
      <c r="E28" s="49">
        <f t="shared" si="0"/>
        <v>28800</v>
      </c>
      <c r="F28" s="47" t="s">
        <v>413</v>
      </c>
      <c r="G28" s="48">
        <v>28800</v>
      </c>
      <c r="H28" s="48">
        <v>1</v>
      </c>
      <c r="I28" s="49">
        <f t="shared" si="1"/>
        <v>28800</v>
      </c>
      <c r="J28" s="47" t="s">
        <v>217</v>
      </c>
      <c r="K28" s="47">
        <v>0</v>
      </c>
      <c r="P28" s="18" t="s">
        <v>64</v>
      </c>
      <c r="Q28" s="36"/>
      <c r="U28" s="53">
        <v>45891</v>
      </c>
    </row>
    <row r="29" spans="1:21" x14ac:dyDescent="0.3">
      <c r="A29" s="52">
        <v>46059</v>
      </c>
      <c r="B29" s="47" t="s">
        <v>228</v>
      </c>
      <c r="C29" s="9" t="s">
        <v>215</v>
      </c>
      <c r="D29" s="9" t="s">
        <v>230</v>
      </c>
      <c r="E29" s="49">
        <f t="shared" si="0"/>
        <v>3400</v>
      </c>
      <c r="F29" s="47" t="s">
        <v>330</v>
      </c>
      <c r="G29" s="48">
        <v>3400</v>
      </c>
      <c r="H29" s="48">
        <v>1</v>
      </c>
      <c r="I29" s="49">
        <f t="shared" si="1"/>
        <v>3400</v>
      </c>
      <c r="J29" s="47" t="s">
        <v>216</v>
      </c>
      <c r="K29" s="47">
        <v>0</v>
      </c>
      <c r="P29" s="18" t="s">
        <v>65</v>
      </c>
      <c r="Q29" s="36"/>
      <c r="U29" s="53">
        <v>45892</v>
      </c>
    </row>
    <row r="30" spans="1:21" x14ac:dyDescent="0.3">
      <c r="A30" s="52">
        <v>46059</v>
      </c>
      <c r="B30" s="47" t="s">
        <v>238</v>
      </c>
      <c r="C30" s="9" t="s">
        <v>215</v>
      </c>
      <c r="D30" s="9" t="s">
        <v>239</v>
      </c>
      <c r="E30" s="49">
        <f t="shared" si="0"/>
        <v>-196700</v>
      </c>
      <c r="G30" s="48">
        <v>-196700</v>
      </c>
      <c r="H30" s="48">
        <v>1</v>
      </c>
      <c r="I30" s="49">
        <f t="shared" si="1"/>
        <v>-196700</v>
      </c>
      <c r="J30" s="47" t="s">
        <v>210</v>
      </c>
      <c r="P30" s="18"/>
      <c r="Q30" s="36"/>
      <c r="U30" s="53">
        <v>45893</v>
      </c>
    </row>
    <row r="31" spans="1:21" x14ac:dyDescent="0.3">
      <c r="A31" s="52">
        <v>46059</v>
      </c>
      <c r="B31" s="47" t="s">
        <v>222</v>
      </c>
      <c r="C31" s="9" t="s">
        <v>215</v>
      </c>
      <c r="D31" s="9" t="s">
        <v>223</v>
      </c>
      <c r="E31" s="49">
        <f t="shared" si="0"/>
        <v>14600</v>
      </c>
      <c r="G31" s="48">
        <v>14600</v>
      </c>
      <c r="H31" s="48">
        <v>1</v>
      </c>
      <c r="I31" s="49">
        <f t="shared" si="1"/>
        <v>14600</v>
      </c>
      <c r="J31" s="47" t="s">
        <v>216</v>
      </c>
      <c r="K31" s="47">
        <v>0</v>
      </c>
      <c r="P31" s="18" t="s">
        <v>66</v>
      </c>
      <c r="Q31" s="36"/>
      <c r="U31" s="53">
        <v>45894</v>
      </c>
    </row>
    <row r="32" spans="1:21" x14ac:dyDescent="0.3">
      <c r="A32" s="52">
        <v>46059</v>
      </c>
      <c r="B32" s="47" t="s">
        <v>224</v>
      </c>
      <c r="C32" s="9" t="s">
        <v>215</v>
      </c>
      <c r="D32" s="9" t="s">
        <v>332</v>
      </c>
      <c r="E32" s="49">
        <f t="shared" si="0"/>
        <v>3100</v>
      </c>
      <c r="G32" s="48">
        <v>3100</v>
      </c>
      <c r="H32" s="48">
        <v>1</v>
      </c>
      <c r="I32" s="49">
        <f t="shared" si="1"/>
        <v>3100</v>
      </c>
      <c r="J32" s="47" t="s">
        <v>216</v>
      </c>
      <c r="P32" s="18" t="s">
        <v>67</v>
      </c>
      <c r="Q32" s="36" t="s">
        <v>68</v>
      </c>
      <c r="U32" s="53">
        <v>45895</v>
      </c>
    </row>
    <row r="33" spans="1:21" x14ac:dyDescent="0.3">
      <c r="A33" s="52">
        <v>46059</v>
      </c>
      <c r="B33" s="47" t="s">
        <v>240</v>
      </c>
      <c r="C33" s="9" t="s">
        <v>208</v>
      </c>
      <c r="D33" s="9" t="s">
        <v>209</v>
      </c>
      <c r="E33" s="49">
        <f t="shared" si="0"/>
        <v>26000</v>
      </c>
      <c r="F33" s="47" t="s">
        <v>339</v>
      </c>
      <c r="G33" s="48">
        <v>26000</v>
      </c>
      <c r="H33" s="48">
        <v>1</v>
      </c>
      <c r="I33" s="49">
        <f t="shared" si="1"/>
        <v>26000</v>
      </c>
      <c r="J33" s="47" t="s">
        <v>217</v>
      </c>
      <c r="K33" s="47">
        <v>0</v>
      </c>
      <c r="P33" s="18" t="s">
        <v>69</v>
      </c>
      <c r="Q33" s="36"/>
      <c r="U33" s="53">
        <v>45896</v>
      </c>
    </row>
    <row r="34" spans="1:21" x14ac:dyDescent="0.3">
      <c r="A34" s="52">
        <v>46059</v>
      </c>
      <c r="B34" s="47" t="s">
        <v>241</v>
      </c>
      <c r="C34" s="9" t="s">
        <v>208</v>
      </c>
      <c r="D34" s="9" t="s">
        <v>227</v>
      </c>
      <c r="E34" s="49">
        <f t="shared" si="0"/>
        <v>16800</v>
      </c>
      <c r="F34" s="47" t="s">
        <v>361</v>
      </c>
      <c r="G34" s="48">
        <v>16800</v>
      </c>
      <c r="H34" s="48">
        <v>1</v>
      </c>
      <c r="I34" s="49">
        <f t="shared" si="1"/>
        <v>16800</v>
      </c>
      <c r="J34" s="47" t="s">
        <v>242</v>
      </c>
      <c r="K34" s="47">
        <v>0</v>
      </c>
      <c r="P34" s="18" t="s">
        <v>70</v>
      </c>
      <c r="Q34" s="36"/>
      <c r="U34" s="53">
        <v>45897</v>
      </c>
    </row>
    <row r="35" spans="1:21" x14ac:dyDescent="0.3">
      <c r="A35" s="52">
        <v>46060</v>
      </c>
      <c r="B35" s="47" t="s">
        <v>243</v>
      </c>
      <c r="C35" s="9" t="s">
        <v>219</v>
      </c>
      <c r="D35" s="9" t="s">
        <v>209</v>
      </c>
      <c r="E35" s="49">
        <f t="shared" si="0"/>
        <v>11300</v>
      </c>
      <c r="F35" s="47" t="s">
        <v>342</v>
      </c>
      <c r="G35" s="48">
        <v>11300</v>
      </c>
      <c r="H35" s="48">
        <v>1</v>
      </c>
      <c r="I35" s="49">
        <f t="shared" si="1"/>
        <v>11300</v>
      </c>
      <c r="J35" s="47" t="s">
        <v>210</v>
      </c>
      <c r="K35" s="47">
        <v>0</v>
      </c>
      <c r="P35" s="18" t="s">
        <v>71</v>
      </c>
      <c r="Q35" s="36"/>
      <c r="U35" s="53">
        <v>45898</v>
      </c>
    </row>
    <row r="36" spans="1:21" x14ac:dyDescent="0.3">
      <c r="A36" s="52">
        <v>46060</v>
      </c>
      <c r="B36" s="47" t="s">
        <v>244</v>
      </c>
      <c r="C36" s="9" t="s">
        <v>219</v>
      </c>
      <c r="D36" s="9" t="s">
        <v>209</v>
      </c>
      <c r="E36" s="49">
        <f t="shared" si="0"/>
        <v>11100</v>
      </c>
      <c r="F36" s="47" t="s">
        <v>344</v>
      </c>
      <c r="G36" s="48">
        <v>11100</v>
      </c>
      <c r="H36" s="48">
        <v>1</v>
      </c>
      <c r="I36" s="49">
        <f t="shared" si="1"/>
        <v>11100</v>
      </c>
      <c r="J36" s="47" t="s">
        <v>210</v>
      </c>
      <c r="K36" s="47">
        <v>0</v>
      </c>
      <c r="P36" s="18" t="s">
        <v>72</v>
      </c>
      <c r="Q36" s="36" t="s">
        <v>73</v>
      </c>
      <c r="U36" s="53">
        <v>45899</v>
      </c>
    </row>
    <row r="37" spans="1:21" x14ac:dyDescent="0.3">
      <c r="A37" s="52">
        <v>46060</v>
      </c>
      <c r="B37" s="47" t="s">
        <v>245</v>
      </c>
      <c r="C37" s="9" t="s">
        <v>215</v>
      </c>
      <c r="D37" s="9" t="s">
        <v>209</v>
      </c>
      <c r="E37" s="49">
        <f t="shared" si="0"/>
        <v>30000</v>
      </c>
      <c r="F37" s="47" t="s">
        <v>341</v>
      </c>
      <c r="G37" s="48">
        <v>30000</v>
      </c>
      <c r="H37" s="48">
        <v>1</v>
      </c>
      <c r="I37" s="49">
        <f t="shared" si="1"/>
        <v>30000</v>
      </c>
      <c r="J37" s="47" t="s">
        <v>210</v>
      </c>
      <c r="K37" s="47">
        <v>0</v>
      </c>
      <c r="P37" s="3" t="s">
        <v>74</v>
      </c>
      <c r="Q37" s="36"/>
      <c r="U37" s="53">
        <v>45900</v>
      </c>
    </row>
    <row r="38" spans="1:21" x14ac:dyDescent="0.3">
      <c r="A38" s="52">
        <v>46060</v>
      </c>
      <c r="B38" s="47" t="s">
        <v>243</v>
      </c>
      <c r="C38" s="9" t="s">
        <v>219</v>
      </c>
      <c r="D38" s="9" t="s">
        <v>209</v>
      </c>
      <c r="E38" s="49">
        <f t="shared" si="0"/>
        <v>12800</v>
      </c>
      <c r="F38" s="47" t="s">
        <v>343</v>
      </c>
      <c r="G38" s="48">
        <v>12800</v>
      </c>
      <c r="H38" s="48">
        <v>1</v>
      </c>
      <c r="I38" s="49">
        <f t="shared" si="1"/>
        <v>12800</v>
      </c>
      <c r="J38" s="47" t="s">
        <v>210</v>
      </c>
      <c r="K38" s="47">
        <v>0</v>
      </c>
      <c r="P38" s="18" t="s">
        <v>75</v>
      </c>
      <c r="Q38" s="36" t="s">
        <v>76</v>
      </c>
      <c r="U38" s="53"/>
    </row>
    <row r="39" spans="1:21" x14ac:dyDescent="0.3">
      <c r="A39" s="52">
        <v>46061</v>
      </c>
      <c r="B39" s="47" t="s">
        <v>246</v>
      </c>
      <c r="C39" s="9" t="s">
        <v>208</v>
      </c>
      <c r="D39" s="9" t="s">
        <v>209</v>
      </c>
      <c r="E39" s="49">
        <f t="shared" si="0"/>
        <v>37000</v>
      </c>
      <c r="F39" s="47" t="s">
        <v>340</v>
      </c>
      <c r="G39" s="48">
        <v>37000</v>
      </c>
      <c r="H39" s="48">
        <v>1</v>
      </c>
      <c r="I39" s="49">
        <f t="shared" si="1"/>
        <v>37000</v>
      </c>
      <c r="J39" s="47" t="s">
        <v>210</v>
      </c>
      <c r="K39" s="47">
        <v>0</v>
      </c>
      <c r="P39" s="18" t="s">
        <v>77</v>
      </c>
      <c r="Q39" s="36" t="s">
        <v>78</v>
      </c>
      <c r="U39" s="53"/>
    </row>
    <row r="40" spans="1:21" x14ac:dyDescent="0.3">
      <c r="A40" s="52">
        <v>46061</v>
      </c>
      <c r="B40" s="47" t="s">
        <v>247</v>
      </c>
      <c r="C40" s="9" t="s">
        <v>208</v>
      </c>
      <c r="D40" s="9" t="s">
        <v>209</v>
      </c>
      <c r="E40" s="49">
        <f t="shared" si="0"/>
        <v>21000</v>
      </c>
      <c r="G40" s="48">
        <v>21000</v>
      </c>
      <c r="H40" s="48">
        <v>1</v>
      </c>
      <c r="I40" s="49">
        <f t="shared" si="1"/>
        <v>21000</v>
      </c>
      <c r="J40" s="47" t="s">
        <v>210</v>
      </c>
      <c r="P40" s="18" t="s">
        <v>79</v>
      </c>
      <c r="Q40" s="36" t="s">
        <v>80</v>
      </c>
      <c r="U40" s="53"/>
    </row>
    <row r="41" spans="1:21" x14ac:dyDescent="0.3">
      <c r="A41" s="52">
        <v>46061</v>
      </c>
      <c r="B41" s="47" t="s">
        <v>248</v>
      </c>
      <c r="C41" s="9" t="s">
        <v>215</v>
      </c>
      <c r="D41" s="9" t="s">
        <v>249</v>
      </c>
      <c r="E41" s="49">
        <f t="shared" si="0"/>
        <v>71000</v>
      </c>
      <c r="F41" s="47" t="s">
        <v>250</v>
      </c>
      <c r="G41" s="48">
        <v>71000</v>
      </c>
      <c r="H41" s="48">
        <v>1</v>
      </c>
      <c r="I41" s="49">
        <f t="shared" si="1"/>
        <v>71000</v>
      </c>
      <c r="J41" s="47" t="s">
        <v>242</v>
      </c>
      <c r="P41" s="18" t="s">
        <v>81</v>
      </c>
      <c r="Q41" s="36" t="s">
        <v>82</v>
      </c>
      <c r="U41" s="53"/>
    </row>
    <row r="42" spans="1:21" x14ac:dyDescent="0.3">
      <c r="A42" s="52">
        <v>46061</v>
      </c>
      <c r="B42" s="47" t="s">
        <v>251</v>
      </c>
      <c r="C42" s="9" t="s">
        <v>215</v>
      </c>
      <c r="D42" s="9" t="s">
        <v>415</v>
      </c>
      <c r="E42" s="49">
        <f t="shared" si="0"/>
        <v>36510</v>
      </c>
      <c r="F42" s="47" t="s">
        <v>253</v>
      </c>
      <c r="G42" s="48">
        <v>36510</v>
      </c>
      <c r="H42" s="48">
        <v>1</v>
      </c>
      <c r="I42" s="49">
        <f t="shared" si="1"/>
        <v>36510</v>
      </c>
      <c r="J42" s="47" t="s">
        <v>210</v>
      </c>
      <c r="P42" s="18"/>
      <c r="Q42" s="36"/>
      <c r="U42" s="53"/>
    </row>
    <row r="43" spans="1:21" x14ac:dyDescent="0.3">
      <c r="A43" s="52">
        <v>46061</v>
      </c>
      <c r="B43" s="47" t="s">
        <v>251</v>
      </c>
      <c r="C43" s="9" t="s">
        <v>215</v>
      </c>
      <c r="D43" s="9" t="s">
        <v>414</v>
      </c>
      <c r="E43" s="49">
        <f t="shared" si="0"/>
        <v>7200</v>
      </c>
      <c r="F43" s="47" t="s">
        <v>254</v>
      </c>
      <c r="G43" s="48">
        <v>7200</v>
      </c>
      <c r="H43" s="48">
        <v>1</v>
      </c>
      <c r="I43" s="49">
        <f t="shared" si="1"/>
        <v>7200</v>
      </c>
      <c r="J43" s="47" t="s">
        <v>210</v>
      </c>
      <c r="P43" s="18"/>
      <c r="Q43" s="36"/>
      <c r="U43" s="53"/>
    </row>
    <row r="44" spans="1:21" x14ac:dyDescent="0.3">
      <c r="A44" s="52">
        <v>46062</v>
      </c>
      <c r="B44" s="47" t="s">
        <v>214</v>
      </c>
      <c r="C44" s="9" t="s">
        <v>215</v>
      </c>
      <c r="D44" s="9" t="s">
        <v>203</v>
      </c>
      <c r="E44" s="49">
        <f t="shared" si="0"/>
        <v>7600</v>
      </c>
      <c r="F44" s="47" t="s">
        <v>337</v>
      </c>
      <c r="G44" s="48">
        <v>7600</v>
      </c>
      <c r="H44" s="48">
        <v>1</v>
      </c>
      <c r="I44" s="49">
        <f t="shared" si="1"/>
        <v>7600</v>
      </c>
      <c r="J44" s="47" t="s">
        <v>217</v>
      </c>
      <c r="K44" s="47">
        <v>0</v>
      </c>
      <c r="P44" s="18" t="s">
        <v>83</v>
      </c>
      <c r="Q44" s="36" t="s">
        <v>84</v>
      </c>
      <c r="U44" s="53"/>
    </row>
    <row r="45" spans="1:21" x14ac:dyDescent="0.3">
      <c r="A45" s="52">
        <v>46062</v>
      </c>
      <c r="B45" s="47" t="s">
        <v>231</v>
      </c>
      <c r="C45" s="9" t="s">
        <v>219</v>
      </c>
      <c r="D45" s="9" t="s">
        <v>209</v>
      </c>
      <c r="E45" s="49">
        <f t="shared" si="0"/>
        <v>12900</v>
      </c>
      <c r="F45" s="47" t="s">
        <v>346</v>
      </c>
      <c r="G45" s="48">
        <v>12900</v>
      </c>
      <c r="H45" s="48">
        <v>1</v>
      </c>
      <c r="I45" s="49">
        <f t="shared" si="1"/>
        <v>12900</v>
      </c>
      <c r="J45" s="47" t="s">
        <v>210</v>
      </c>
      <c r="K45" s="47">
        <v>0</v>
      </c>
      <c r="P45" s="3"/>
      <c r="Q45" s="36"/>
      <c r="U45" s="53"/>
    </row>
    <row r="46" spans="1:21" x14ac:dyDescent="0.3">
      <c r="A46" s="52">
        <v>46062</v>
      </c>
      <c r="B46" s="47" t="s">
        <v>222</v>
      </c>
      <c r="C46" s="9" t="s">
        <v>215</v>
      </c>
      <c r="D46" s="9" t="s">
        <v>223</v>
      </c>
      <c r="E46" s="49">
        <f t="shared" si="0"/>
        <v>14600</v>
      </c>
      <c r="G46" s="48">
        <v>14600</v>
      </c>
      <c r="H46" s="48">
        <v>1</v>
      </c>
      <c r="I46" s="49">
        <f t="shared" si="1"/>
        <v>14600</v>
      </c>
      <c r="J46" s="47" t="s">
        <v>213</v>
      </c>
      <c r="K46" s="47">
        <v>0</v>
      </c>
      <c r="P46" s="18" t="s">
        <v>88</v>
      </c>
      <c r="Q46" s="36" t="s">
        <v>89</v>
      </c>
      <c r="U46" s="53"/>
    </row>
    <row r="47" spans="1:21" x14ac:dyDescent="0.3">
      <c r="A47" s="52">
        <v>46062</v>
      </c>
      <c r="B47" s="47" t="s">
        <v>224</v>
      </c>
      <c r="C47" s="9" t="s">
        <v>215</v>
      </c>
      <c r="D47" s="9" t="s">
        <v>332</v>
      </c>
      <c r="E47" s="49">
        <f t="shared" si="0"/>
        <v>4100</v>
      </c>
      <c r="F47" s="47" t="s">
        <v>333</v>
      </c>
      <c r="G47" s="48">
        <v>4100</v>
      </c>
      <c r="H47" s="48">
        <v>1</v>
      </c>
      <c r="I47" s="49">
        <f t="shared" si="1"/>
        <v>4100</v>
      </c>
      <c r="J47" s="47" t="s">
        <v>213</v>
      </c>
      <c r="K47" s="47">
        <v>0</v>
      </c>
      <c r="P47" s="18" t="s">
        <v>90</v>
      </c>
      <c r="Q47" s="36"/>
      <c r="U47" s="53"/>
    </row>
    <row r="48" spans="1:21" x14ac:dyDescent="0.3">
      <c r="A48" s="52">
        <v>46062</v>
      </c>
      <c r="B48" s="47" t="s">
        <v>255</v>
      </c>
      <c r="C48" s="9" t="s">
        <v>215</v>
      </c>
      <c r="D48" s="9" t="s">
        <v>204</v>
      </c>
      <c r="E48" s="49">
        <f t="shared" si="0"/>
        <v>1000</v>
      </c>
      <c r="G48" s="48">
        <v>1000</v>
      </c>
      <c r="H48" s="48">
        <v>1</v>
      </c>
      <c r="I48" s="49">
        <f t="shared" si="1"/>
        <v>1000</v>
      </c>
      <c r="J48" s="47" t="s">
        <v>213</v>
      </c>
      <c r="P48" s="18" t="s">
        <v>91</v>
      </c>
      <c r="Q48" s="36" t="s">
        <v>92</v>
      </c>
      <c r="U48" s="53"/>
    </row>
    <row r="49" spans="1:21" x14ac:dyDescent="0.3">
      <c r="A49" s="52">
        <v>46062</v>
      </c>
      <c r="B49" s="47" t="s">
        <v>319</v>
      </c>
      <c r="C49" s="9" t="s">
        <v>190</v>
      </c>
      <c r="D49" s="9" t="s">
        <v>320</v>
      </c>
      <c r="E49" s="49">
        <f t="shared" si="0"/>
        <v>3995000</v>
      </c>
      <c r="F49" s="47" t="s">
        <v>321</v>
      </c>
      <c r="G49" s="48">
        <v>3995000</v>
      </c>
      <c r="H49" s="48">
        <v>1</v>
      </c>
      <c r="I49" s="49">
        <f t="shared" si="1"/>
        <v>3995000</v>
      </c>
      <c r="J49" s="47" t="s">
        <v>135</v>
      </c>
      <c r="P49" s="18"/>
      <c r="Q49" s="36"/>
      <c r="U49" s="53"/>
    </row>
    <row r="50" spans="1:21" x14ac:dyDescent="0.3">
      <c r="A50" s="52">
        <v>46063</v>
      </c>
      <c r="B50" s="47" t="s">
        <v>256</v>
      </c>
      <c r="C50" s="9" t="s">
        <v>215</v>
      </c>
      <c r="D50" s="9" t="s">
        <v>257</v>
      </c>
      <c r="E50" s="49">
        <f t="shared" si="0"/>
        <v>24380</v>
      </c>
      <c r="F50" s="47" t="s">
        <v>258</v>
      </c>
      <c r="G50" s="48">
        <v>24380</v>
      </c>
      <c r="H50" s="48">
        <v>1</v>
      </c>
      <c r="I50" s="49">
        <f t="shared" si="1"/>
        <v>24380</v>
      </c>
      <c r="J50" s="47" t="s">
        <v>213</v>
      </c>
      <c r="P50" s="3"/>
      <c r="Q50" s="36"/>
      <c r="U50" s="53"/>
    </row>
    <row r="51" spans="1:21" x14ac:dyDescent="0.3">
      <c r="A51" s="52">
        <v>46063</v>
      </c>
      <c r="B51" s="47" t="s">
        <v>214</v>
      </c>
      <c r="C51" s="9" t="s">
        <v>215</v>
      </c>
      <c r="D51" s="9" t="s">
        <v>203</v>
      </c>
      <c r="E51" s="49">
        <f t="shared" si="0"/>
        <v>7400</v>
      </c>
      <c r="F51" s="47" t="s">
        <v>371</v>
      </c>
      <c r="G51" s="48">
        <v>7400</v>
      </c>
      <c r="H51" s="48">
        <v>1</v>
      </c>
      <c r="I51" s="49">
        <f t="shared" si="1"/>
        <v>7400</v>
      </c>
      <c r="J51" s="47" t="s">
        <v>210</v>
      </c>
      <c r="K51" s="47">
        <v>0</v>
      </c>
      <c r="P51" s="3" t="s">
        <v>93</v>
      </c>
      <c r="Q51" s="36"/>
      <c r="U51" s="53"/>
    </row>
    <row r="52" spans="1:21" x14ac:dyDescent="0.3">
      <c r="A52" s="52">
        <v>46063</v>
      </c>
      <c r="B52" s="47" t="s">
        <v>228</v>
      </c>
      <c r="C52" s="9" t="s">
        <v>215</v>
      </c>
      <c r="D52" s="9" t="s">
        <v>230</v>
      </c>
      <c r="E52" s="49">
        <f t="shared" si="0"/>
        <v>3400</v>
      </c>
      <c r="F52" s="47" t="s">
        <v>330</v>
      </c>
      <c r="G52" s="48">
        <v>3400</v>
      </c>
      <c r="H52" s="48">
        <v>1</v>
      </c>
      <c r="I52" s="49">
        <f t="shared" si="1"/>
        <v>3400</v>
      </c>
      <c r="J52" s="47" t="s">
        <v>216</v>
      </c>
      <c r="K52" s="47">
        <v>0</v>
      </c>
      <c r="P52" s="18" t="s">
        <v>94</v>
      </c>
      <c r="Q52" s="36"/>
      <c r="U52" s="53"/>
    </row>
    <row r="53" spans="1:21" x14ac:dyDescent="0.3">
      <c r="A53" s="52">
        <v>46063</v>
      </c>
      <c r="B53" s="47" t="s">
        <v>259</v>
      </c>
      <c r="C53" s="9" t="s">
        <v>219</v>
      </c>
      <c r="D53" s="9" t="s">
        <v>230</v>
      </c>
      <c r="E53" s="49">
        <f t="shared" si="0"/>
        <v>8500</v>
      </c>
      <c r="F53" s="47" t="s">
        <v>362</v>
      </c>
      <c r="G53" s="48">
        <v>8500</v>
      </c>
      <c r="H53" s="48">
        <v>1</v>
      </c>
      <c r="I53" s="49">
        <f t="shared" si="1"/>
        <v>8500</v>
      </c>
      <c r="J53" s="47" t="s">
        <v>213</v>
      </c>
      <c r="P53" s="18"/>
      <c r="Q53" s="36"/>
      <c r="U53" s="53"/>
    </row>
    <row r="54" spans="1:21" x14ac:dyDescent="0.3">
      <c r="A54" s="52">
        <v>46063</v>
      </c>
      <c r="B54" s="47" t="s">
        <v>198</v>
      </c>
      <c r="C54" s="9" t="s">
        <v>188</v>
      </c>
      <c r="D54" s="9" t="s">
        <v>199</v>
      </c>
      <c r="E54" s="49">
        <v>16787</v>
      </c>
      <c r="G54" s="48">
        <v>16787</v>
      </c>
      <c r="H54" s="48">
        <v>1</v>
      </c>
      <c r="I54" s="49">
        <f t="shared" si="1"/>
        <v>16787</v>
      </c>
      <c r="J54" s="47" t="s">
        <v>201</v>
      </c>
      <c r="P54" s="18" t="s">
        <v>95</v>
      </c>
      <c r="Q54" s="36"/>
      <c r="U54" s="53"/>
    </row>
    <row r="55" spans="1:21" x14ac:dyDescent="0.3">
      <c r="A55" s="52">
        <v>46063</v>
      </c>
      <c r="B55" s="47" t="s">
        <v>236</v>
      </c>
      <c r="C55" s="9" t="s">
        <v>188</v>
      </c>
      <c r="D55" s="9" t="s">
        <v>229</v>
      </c>
      <c r="E55" s="49">
        <v>2000</v>
      </c>
      <c r="G55" s="48">
        <v>2000</v>
      </c>
      <c r="H55" s="48">
        <v>1</v>
      </c>
      <c r="I55" s="49">
        <f t="shared" si="1"/>
        <v>2000</v>
      </c>
      <c r="J55" s="47" t="s">
        <v>140</v>
      </c>
      <c r="P55" s="18" t="s">
        <v>96</v>
      </c>
      <c r="Q55" s="36" t="s">
        <v>97</v>
      </c>
      <c r="U55" s="53"/>
    </row>
    <row r="56" spans="1:21" x14ac:dyDescent="0.3">
      <c r="A56" s="52">
        <v>46063</v>
      </c>
      <c r="B56" s="47" t="s">
        <v>194</v>
      </c>
      <c r="C56" s="9" t="s">
        <v>188</v>
      </c>
      <c r="D56" s="9" t="s">
        <v>195</v>
      </c>
      <c r="E56" s="49">
        <v>51725</v>
      </c>
      <c r="G56" s="48">
        <v>51725</v>
      </c>
      <c r="H56" s="48">
        <v>1</v>
      </c>
      <c r="I56" s="49">
        <f t="shared" si="1"/>
        <v>51725</v>
      </c>
      <c r="J56" s="47" t="s">
        <v>189</v>
      </c>
      <c r="P56" s="18" t="s">
        <v>98</v>
      </c>
      <c r="Q56" s="36"/>
      <c r="U56" s="53"/>
    </row>
    <row r="57" spans="1:21" x14ac:dyDescent="0.3">
      <c r="A57" s="52">
        <v>46063</v>
      </c>
      <c r="B57" s="47" t="s">
        <v>196</v>
      </c>
      <c r="C57" s="9" t="s">
        <v>190</v>
      </c>
      <c r="D57" s="9" t="s">
        <v>197</v>
      </c>
      <c r="E57" s="49">
        <v>31350</v>
      </c>
      <c r="G57" s="48">
        <v>31350</v>
      </c>
      <c r="H57" s="48">
        <v>1</v>
      </c>
      <c r="I57" s="49">
        <f t="shared" si="1"/>
        <v>31350</v>
      </c>
      <c r="J57" s="47" t="s">
        <v>189</v>
      </c>
      <c r="P57" s="18" t="s">
        <v>100</v>
      </c>
      <c r="Q57" s="36" t="s">
        <v>182</v>
      </c>
      <c r="U57" s="53"/>
    </row>
    <row r="58" spans="1:21" x14ac:dyDescent="0.3">
      <c r="A58" s="52">
        <v>46063</v>
      </c>
      <c r="B58" s="47" t="s">
        <v>200</v>
      </c>
      <c r="C58" s="9" t="s">
        <v>190</v>
      </c>
      <c r="D58" s="9" t="s">
        <v>192</v>
      </c>
      <c r="E58" s="49">
        <v>39900</v>
      </c>
      <c r="G58" s="48">
        <v>39900</v>
      </c>
      <c r="H58" s="48">
        <v>1</v>
      </c>
      <c r="I58" s="49">
        <f t="shared" si="1"/>
        <v>39900</v>
      </c>
      <c r="J58" s="47" t="s">
        <v>191</v>
      </c>
      <c r="P58" s="18" t="s">
        <v>102</v>
      </c>
      <c r="Q58" s="36" t="s">
        <v>183</v>
      </c>
      <c r="U58" s="53"/>
    </row>
    <row r="59" spans="1:21" x14ac:dyDescent="0.3">
      <c r="A59" s="52">
        <v>46064</v>
      </c>
      <c r="B59" s="47" t="s">
        <v>214</v>
      </c>
      <c r="C59" s="9" t="s">
        <v>215</v>
      </c>
      <c r="D59" s="9" t="s">
        <v>203</v>
      </c>
      <c r="E59" s="49">
        <f t="shared" si="0"/>
        <v>7600</v>
      </c>
      <c r="G59" s="48">
        <v>7600</v>
      </c>
      <c r="H59" s="48">
        <v>1</v>
      </c>
      <c r="I59" s="49">
        <f t="shared" si="1"/>
        <v>7600</v>
      </c>
      <c r="J59" s="47" t="s">
        <v>210</v>
      </c>
      <c r="P59" s="3"/>
      <c r="Q59" s="36"/>
      <c r="U59" s="53"/>
    </row>
    <row r="60" spans="1:21" x14ac:dyDescent="0.3">
      <c r="A60" s="52">
        <v>46064</v>
      </c>
      <c r="B60" s="47" t="s">
        <v>237</v>
      </c>
      <c r="C60" s="9" t="s">
        <v>215</v>
      </c>
      <c r="D60" s="9" t="s">
        <v>230</v>
      </c>
      <c r="E60" s="49">
        <f t="shared" si="0"/>
        <v>2000</v>
      </c>
      <c r="G60" s="48">
        <v>2000</v>
      </c>
      <c r="H60" s="48">
        <v>1</v>
      </c>
      <c r="I60" s="49">
        <f t="shared" si="1"/>
        <v>2000</v>
      </c>
      <c r="J60" s="47" t="s">
        <v>210</v>
      </c>
      <c r="P60" s="3"/>
      <c r="Q60" s="36"/>
      <c r="U60" s="53"/>
    </row>
    <row r="61" spans="1:21" x14ac:dyDescent="0.3">
      <c r="A61" s="52">
        <v>46064</v>
      </c>
      <c r="B61" s="47" t="s">
        <v>238</v>
      </c>
      <c r="C61" s="9" t="s">
        <v>215</v>
      </c>
      <c r="D61" s="9" t="s">
        <v>275</v>
      </c>
      <c r="E61" s="49">
        <f t="shared" si="0"/>
        <v>-9200</v>
      </c>
      <c r="G61" s="48">
        <v>-9200</v>
      </c>
      <c r="H61" s="48">
        <v>1</v>
      </c>
      <c r="I61" s="49">
        <f t="shared" si="1"/>
        <v>-9200</v>
      </c>
      <c r="J61" s="47" t="s">
        <v>210</v>
      </c>
      <c r="P61" s="3"/>
      <c r="Q61" s="36"/>
      <c r="U61" s="53"/>
    </row>
    <row r="62" spans="1:21" x14ac:dyDescent="0.3">
      <c r="A62" s="52">
        <v>46064</v>
      </c>
      <c r="B62" s="47" t="s">
        <v>260</v>
      </c>
      <c r="C62" s="9" t="s">
        <v>219</v>
      </c>
      <c r="D62" s="9" t="s">
        <v>209</v>
      </c>
      <c r="E62" s="49">
        <f t="shared" si="0"/>
        <v>10200</v>
      </c>
      <c r="F62" s="47" t="s">
        <v>410</v>
      </c>
      <c r="G62" s="48">
        <v>10200</v>
      </c>
      <c r="H62" s="48">
        <v>1</v>
      </c>
      <c r="I62" s="49">
        <f t="shared" si="1"/>
        <v>10200</v>
      </c>
      <c r="J62" s="47" t="s">
        <v>210</v>
      </c>
      <c r="K62" s="47">
        <v>0</v>
      </c>
      <c r="P62" s="3" t="s">
        <v>104</v>
      </c>
      <c r="Q62" s="36"/>
      <c r="U62" s="53"/>
    </row>
    <row r="63" spans="1:21" x14ac:dyDescent="0.3">
      <c r="A63" s="52">
        <v>46064</v>
      </c>
      <c r="B63" s="47" t="s">
        <v>222</v>
      </c>
      <c r="C63" s="9" t="s">
        <v>215</v>
      </c>
      <c r="D63" s="9" t="s">
        <v>223</v>
      </c>
      <c r="E63" s="49">
        <f t="shared" si="0"/>
        <v>14600</v>
      </c>
      <c r="G63" s="48">
        <v>14600</v>
      </c>
      <c r="H63" s="48">
        <v>1</v>
      </c>
      <c r="I63" s="49">
        <f t="shared" si="1"/>
        <v>14600</v>
      </c>
      <c r="J63" s="47" t="s">
        <v>216</v>
      </c>
      <c r="P63" s="18" t="s">
        <v>105</v>
      </c>
      <c r="Q63" s="36"/>
      <c r="U63" s="53"/>
    </row>
    <row r="64" spans="1:21" x14ac:dyDescent="0.3">
      <c r="A64" s="52">
        <v>46064</v>
      </c>
      <c r="B64" s="47" t="s">
        <v>261</v>
      </c>
      <c r="C64" s="9" t="s">
        <v>219</v>
      </c>
      <c r="D64" s="9" t="s">
        <v>209</v>
      </c>
      <c r="E64" s="49">
        <f t="shared" si="0"/>
        <v>11900</v>
      </c>
      <c r="F64" s="47" t="s">
        <v>409</v>
      </c>
      <c r="G64" s="48">
        <v>11900</v>
      </c>
      <c r="H64" s="48">
        <v>1</v>
      </c>
      <c r="I64" s="49">
        <f t="shared" si="1"/>
        <v>11900</v>
      </c>
      <c r="J64" s="47" t="s">
        <v>210</v>
      </c>
      <c r="K64" s="47">
        <v>0</v>
      </c>
      <c r="P64" s="18" t="s">
        <v>106</v>
      </c>
      <c r="Q64" s="36"/>
      <c r="U64" s="53"/>
    </row>
    <row r="65" spans="1:21" x14ac:dyDescent="0.3">
      <c r="A65" s="52">
        <v>46065</v>
      </c>
      <c r="B65" s="47" t="s">
        <v>262</v>
      </c>
      <c r="C65" s="9" t="s">
        <v>215</v>
      </c>
      <c r="D65" s="9" t="s">
        <v>202</v>
      </c>
      <c r="E65" s="49">
        <f t="shared" si="0"/>
        <v>19900</v>
      </c>
      <c r="G65" s="48">
        <v>19900</v>
      </c>
      <c r="H65" s="48">
        <v>1</v>
      </c>
      <c r="I65" s="49">
        <f t="shared" si="1"/>
        <v>19900</v>
      </c>
      <c r="J65" s="47" t="s">
        <v>216</v>
      </c>
      <c r="P65" s="18" t="s">
        <v>107</v>
      </c>
      <c r="Q65" s="36" t="s">
        <v>108</v>
      </c>
      <c r="U65" s="53"/>
    </row>
    <row r="66" spans="1:21" x14ac:dyDescent="0.3">
      <c r="A66" s="52">
        <v>46065</v>
      </c>
      <c r="B66" s="47" t="s">
        <v>263</v>
      </c>
      <c r="C66" s="9" t="s">
        <v>219</v>
      </c>
      <c r="D66" s="9" t="s">
        <v>202</v>
      </c>
      <c r="E66" s="49">
        <f t="shared" si="0"/>
        <v>9200</v>
      </c>
      <c r="F66" s="47" t="s">
        <v>405</v>
      </c>
      <c r="G66" s="48">
        <v>9200</v>
      </c>
      <c r="H66" s="48">
        <v>1</v>
      </c>
      <c r="I66" s="49">
        <f t="shared" si="1"/>
        <v>9200</v>
      </c>
      <c r="J66" s="47" t="s">
        <v>213</v>
      </c>
      <c r="K66" s="47">
        <v>0</v>
      </c>
      <c r="P66" s="18" t="s">
        <v>109</v>
      </c>
      <c r="Q66" s="36" t="s">
        <v>110</v>
      </c>
      <c r="U66" s="53"/>
    </row>
    <row r="67" spans="1:21" x14ac:dyDescent="0.3">
      <c r="A67" s="52">
        <v>46065</v>
      </c>
      <c r="B67" s="47" t="s">
        <v>264</v>
      </c>
      <c r="C67" s="9" t="s">
        <v>208</v>
      </c>
      <c r="D67" s="9" t="s">
        <v>265</v>
      </c>
      <c r="E67" s="49">
        <f t="shared" si="0"/>
        <v>221400</v>
      </c>
      <c r="G67" s="48">
        <v>221400</v>
      </c>
      <c r="H67" s="48">
        <v>1</v>
      </c>
      <c r="I67" s="49">
        <f t="shared" si="1"/>
        <v>221400</v>
      </c>
      <c r="J67" s="47" t="s">
        <v>210</v>
      </c>
      <c r="P67" s="18" t="s">
        <v>111</v>
      </c>
      <c r="Q67" s="36" t="s">
        <v>112</v>
      </c>
      <c r="U67" s="53"/>
    </row>
    <row r="68" spans="1:21" x14ac:dyDescent="0.3">
      <c r="A68" s="52">
        <v>46065</v>
      </c>
      <c r="B68" s="47" t="s">
        <v>241</v>
      </c>
      <c r="C68" s="9" t="s">
        <v>208</v>
      </c>
      <c r="D68" s="9" t="s">
        <v>204</v>
      </c>
      <c r="E68" s="49">
        <f t="shared" si="0"/>
        <v>6150</v>
      </c>
      <c r="G68" s="48">
        <v>6150</v>
      </c>
      <c r="H68" s="48">
        <v>1</v>
      </c>
      <c r="I68" s="49">
        <f t="shared" si="1"/>
        <v>6150</v>
      </c>
      <c r="J68" s="47" t="s">
        <v>242</v>
      </c>
      <c r="P68" s="3"/>
      <c r="Q68" s="36"/>
      <c r="U68" s="53"/>
    </row>
    <row r="69" spans="1:21" x14ac:dyDescent="0.3">
      <c r="A69" s="52">
        <v>46066</v>
      </c>
      <c r="B69" s="47" t="s">
        <v>266</v>
      </c>
      <c r="C69" s="9" t="s">
        <v>208</v>
      </c>
      <c r="D69" s="9" t="s">
        <v>266</v>
      </c>
      <c r="E69" s="49">
        <f t="shared" si="0"/>
        <v>13600</v>
      </c>
      <c r="F69" s="47" t="s">
        <v>267</v>
      </c>
      <c r="G69" s="48">
        <v>13600</v>
      </c>
      <c r="H69" s="48">
        <v>1</v>
      </c>
      <c r="I69" s="49">
        <f t="shared" si="1"/>
        <v>13600</v>
      </c>
      <c r="J69" s="47" t="s">
        <v>216</v>
      </c>
      <c r="P69" s="3" t="s">
        <v>113</v>
      </c>
      <c r="Q69" s="36"/>
      <c r="U69" s="53"/>
    </row>
    <row r="70" spans="1:21" x14ac:dyDescent="0.3">
      <c r="A70" s="52">
        <v>46066</v>
      </c>
      <c r="B70" s="47" t="s">
        <v>268</v>
      </c>
      <c r="C70" s="9" t="s">
        <v>208</v>
      </c>
      <c r="D70" s="9" t="s">
        <v>202</v>
      </c>
      <c r="E70" s="49">
        <f t="shared" si="0"/>
        <v>28700</v>
      </c>
      <c r="G70" s="48">
        <v>28700</v>
      </c>
      <c r="H70" s="48">
        <v>1</v>
      </c>
      <c r="I70" s="49">
        <f t="shared" si="1"/>
        <v>28700</v>
      </c>
      <c r="J70" s="47" t="s">
        <v>210</v>
      </c>
      <c r="P70" s="18" t="s">
        <v>114</v>
      </c>
      <c r="Q70" s="36" t="s">
        <v>115</v>
      </c>
      <c r="U70" s="53"/>
    </row>
    <row r="71" spans="1:21" x14ac:dyDescent="0.3">
      <c r="A71" s="52">
        <v>46066</v>
      </c>
      <c r="B71" s="47" t="s">
        <v>269</v>
      </c>
      <c r="C71" s="9" t="s">
        <v>208</v>
      </c>
      <c r="D71" s="9" t="s">
        <v>270</v>
      </c>
      <c r="E71" s="49">
        <f>SUM(I71:I74)</f>
        <v>36000</v>
      </c>
      <c r="F71" s="47" t="s">
        <v>358</v>
      </c>
      <c r="G71" s="48">
        <v>9500</v>
      </c>
      <c r="H71" s="48">
        <v>1</v>
      </c>
      <c r="I71" s="49">
        <f t="shared" si="1"/>
        <v>9500</v>
      </c>
      <c r="J71" s="47" t="s">
        <v>210</v>
      </c>
      <c r="K71" s="47">
        <v>0</v>
      </c>
      <c r="P71" s="18" t="s">
        <v>184</v>
      </c>
      <c r="Q71" s="36" t="s">
        <v>185</v>
      </c>
      <c r="U71" s="53"/>
    </row>
    <row r="72" spans="1:21" x14ac:dyDescent="0.3">
      <c r="A72" s="52">
        <v>46066</v>
      </c>
      <c r="B72" s="47" t="s">
        <v>269</v>
      </c>
      <c r="C72" s="9" t="s">
        <v>13</v>
      </c>
      <c r="D72" s="9" t="s">
        <v>270</v>
      </c>
      <c r="F72" s="47" t="s">
        <v>359</v>
      </c>
      <c r="G72" s="48">
        <v>10000</v>
      </c>
      <c r="H72" s="48">
        <v>1</v>
      </c>
      <c r="I72" s="49">
        <f t="shared" ref="I72:I74" si="7">G72*H72</f>
        <v>10000</v>
      </c>
      <c r="J72" s="47" t="s">
        <v>140</v>
      </c>
      <c r="K72" s="47">
        <v>0</v>
      </c>
      <c r="P72" s="18"/>
      <c r="Q72" s="36"/>
      <c r="U72" s="53"/>
    </row>
    <row r="73" spans="1:21" x14ac:dyDescent="0.3">
      <c r="A73" s="52">
        <v>46066</v>
      </c>
      <c r="B73" s="47" t="s">
        <v>269</v>
      </c>
      <c r="C73" s="9" t="s">
        <v>13</v>
      </c>
      <c r="D73" s="9" t="s">
        <v>270</v>
      </c>
      <c r="F73" s="47" t="s">
        <v>360</v>
      </c>
      <c r="G73" s="48">
        <v>8500</v>
      </c>
      <c r="H73" s="48">
        <v>1</v>
      </c>
      <c r="I73" s="49">
        <f t="shared" si="7"/>
        <v>8500</v>
      </c>
      <c r="J73" s="47" t="s">
        <v>140</v>
      </c>
      <c r="K73" s="47">
        <v>0</v>
      </c>
      <c r="P73" s="3" t="s">
        <v>116</v>
      </c>
      <c r="Q73" s="36"/>
      <c r="U73" s="53"/>
    </row>
    <row r="74" spans="1:21" x14ac:dyDescent="0.3">
      <c r="A74" s="52">
        <v>46066</v>
      </c>
      <c r="B74" s="47" t="s">
        <v>269</v>
      </c>
      <c r="C74" s="9" t="s">
        <v>13</v>
      </c>
      <c r="D74" s="9" t="s">
        <v>270</v>
      </c>
      <c r="F74" s="47" t="s">
        <v>360</v>
      </c>
      <c r="G74" s="48">
        <v>8000</v>
      </c>
      <c r="H74" s="48">
        <v>1</v>
      </c>
      <c r="I74" s="49">
        <f t="shared" si="7"/>
        <v>8000</v>
      </c>
      <c r="J74" s="47" t="s">
        <v>140</v>
      </c>
      <c r="K74" s="47">
        <v>0</v>
      </c>
      <c r="P74" s="18" t="s">
        <v>117</v>
      </c>
      <c r="Q74" s="36" t="s">
        <v>118</v>
      </c>
      <c r="U74" s="53"/>
    </row>
    <row r="75" spans="1:21" x14ac:dyDescent="0.3">
      <c r="A75" s="52">
        <v>46066</v>
      </c>
      <c r="B75" s="47" t="s">
        <v>271</v>
      </c>
      <c r="C75" s="9" t="s">
        <v>208</v>
      </c>
      <c r="D75" s="9" t="s">
        <v>227</v>
      </c>
      <c r="E75" s="49">
        <f t="shared" si="0"/>
        <v>80000</v>
      </c>
      <c r="F75" s="51" t="s">
        <v>419</v>
      </c>
      <c r="G75" s="48">
        <v>80000</v>
      </c>
      <c r="H75" s="48">
        <v>1</v>
      </c>
      <c r="I75" s="49">
        <f t="shared" si="1"/>
        <v>80000</v>
      </c>
      <c r="J75" s="47" t="s">
        <v>210</v>
      </c>
      <c r="K75" s="47">
        <v>0</v>
      </c>
      <c r="P75" s="18" t="s">
        <v>119</v>
      </c>
      <c r="Q75" s="36" t="s">
        <v>120</v>
      </c>
      <c r="U75" s="53"/>
    </row>
    <row r="76" spans="1:21" x14ac:dyDescent="0.3">
      <c r="A76" s="52">
        <v>46066</v>
      </c>
      <c r="B76" s="47" t="s">
        <v>271</v>
      </c>
      <c r="C76" s="9" t="s">
        <v>208</v>
      </c>
      <c r="D76" s="9" t="s">
        <v>270</v>
      </c>
      <c r="E76" s="49">
        <f t="shared" si="0"/>
        <v>16000</v>
      </c>
      <c r="G76" s="48">
        <v>16000</v>
      </c>
      <c r="H76" s="48">
        <v>1</v>
      </c>
      <c r="I76" s="49">
        <f t="shared" si="1"/>
        <v>16000</v>
      </c>
      <c r="J76" s="47" t="s">
        <v>210</v>
      </c>
      <c r="M76" t="s">
        <v>374</v>
      </c>
      <c r="P76" s="18" t="s">
        <v>121</v>
      </c>
      <c r="Q76" s="36" t="s">
        <v>122</v>
      </c>
      <c r="U76" s="53"/>
    </row>
    <row r="77" spans="1:21" x14ac:dyDescent="0.3">
      <c r="A77" s="52">
        <v>46066</v>
      </c>
      <c r="B77" s="47" t="s">
        <v>271</v>
      </c>
      <c r="C77" s="9" t="s">
        <v>208</v>
      </c>
      <c r="D77" s="9" t="s">
        <v>270</v>
      </c>
      <c r="E77" s="49">
        <f t="shared" ref="E77:E78" si="8">SUM(I77:I77)</f>
        <v>7800</v>
      </c>
      <c r="G77" s="48">
        <v>7800</v>
      </c>
      <c r="H77" s="48">
        <v>1</v>
      </c>
      <c r="I77" s="49">
        <f t="shared" si="1"/>
        <v>7800</v>
      </c>
      <c r="J77" s="47" t="s">
        <v>210</v>
      </c>
      <c r="P77" s="18" t="s">
        <v>186</v>
      </c>
      <c r="Q77" s="36"/>
      <c r="U77" s="53"/>
    </row>
    <row r="78" spans="1:21" x14ac:dyDescent="0.3">
      <c r="A78" s="52">
        <v>46066</v>
      </c>
      <c r="B78" s="47" t="s">
        <v>271</v>
      </c>
      <c r="C78" s="9" t="s">
        <v>208</v>
      </c>
      <c r="D78" s="9" t="s">
        <v>227</v>
      </c>
      <c r="E78" s="49">
        <f t="shared" si="8"/>
        <v>12000</v>
      </c>
      <c r="F78" s="47" t="s">
        <v>420</v>
      </c>
      <c r="G78" s="48">
        <v>12000</v>
      </c>
      <c r="H78" s="48">
        <v>1</v>
      </c>
      <c r="I78" s="49">
        <f t="shared" si="1"/>
        <v>12000</v>
      </c>
      <c r="J78" s="47" t="s">
        <v>210</v>
      </c>
      <c r="K78" s="47">
        <v>0</v>
      </c>
      <c r="P78" s="3"/>
      <c r="Q78" s="36"/>
      <c r="U78" s="53"/>
    </row>
    <row r="79" spans="1:21" x14ac:dyDescent="0.3">
      <c r="A79" s="52">
        <v>46066</v>
      </c>
      <c r="B79" s="47" t="s">
        <v>272</v>
      </c>
      <c r="C79" s="9" t="s">
        <v>208</v>
      </c>
      <c r="D79" s="9" t="s">
        <v>270</v>
      </c>
      <c r="E79" s="49">
        <f t="shared" si="0"/>
        <v>3000</v>
      </c>
      <c r="F79" s="47" t="s">
        <v>363</v>
      </c>
      <c r="G79" s="48">
        <v>3000</v>
      </c>
      <c r="H79" s="48">
        <v>1</v>
      </c>
      <c r="I79" s="49">
        <f t="shared" si="1"/>
        <v>3000</v>
      </c>
      <c r="J79" s="47" t="s">
        <v>213</v>
      </c>
      <c r="K79" s="47">
        <v>0</v>
      </c>
      <c r="P79" s="3" t="s">
        <v>124</v>
      </c>
      <c r="Q79" s="36"/>
      <c r="U79" s="53"/>
    </row>
    <row r="80" spans="1:21" x14ac:dyDescent="0.3">
      <c r="A80" s="52">
        <v>46066</v>
      </c>
      <c r="B80" s="47" t="s">
        <v>273</v>
      </c>
      <c r="C80" s="9" t="s">
        <v>208</v>
      </c>
      <c r="D80" s="9" t="s">
        <v>209</v>
      </c>
      <c r="E80" s="49">
        <f t="shared" si="0"/>
        <v>15500</v>
      </c>
      <c r="G80" s="48">
        <v>15500</v>
      </c>
      <c r="H80" s="48">
        <v>1</v>
      </c>
      <c r="I80" s="49">
        <f t="shared" si="1"/>
        <v>15500</v>
      </c>
      <c r="J80" s="47" t="s">
        <v>210</v>
      </c>
      <c r="P80" s="18" t="s">
        <v>125</v>
      </c>
      <c r="Q80" s="36"/>
      <c r="U80" s="53"/>
    </row>
    <row r="81" spans="1:21" x14ac:dyDescent="0.3">
      <c r="A81" s="52">
        <v>46066</v>
      </c>
      <c r="B81" s="47" t="s">
        <v>274</v>
      </c>
      <c r="C81" s="9" t="s">
        <v>208</v>
      </c>
      <c r="D81" s="9" t="s">
        <v>373</v>
      </c>
      <c r="E81" s="49">
        <f t="shared" si="0"/>
        <v>-200000</v>
      </c>
      <c r="G81" s="48">
        <v>-200000</v>
      </c>
      <c r="H81" s="48">
        <v>1</v>
      </c>
      <c r="I81" s="49">
        <f t="shared" si="1"/>
        <v>-200000</v>
      </c>
      <c r="J81" s="47" t="s">
        <v>242</v>
      </c>
      <c r="P81" s="18" t="s">
        <v>126</v>
      </c>
      <c r="Q81" s="36"/>
      <c r="U81" s="53"/>
    </row>
    <row r="82" spans="1:21" x14ac:dyDescent="0.3">
      <c r="A82" s="52">
        <v>46066</v>
      </c>
      <c r="B82" s="47" t="s">
        <v>316</v>
      </c>
      <c r="C82" s="9" t="s">
        <v>13</v>
      </c>
      <c r="D82" s="9" t="s">
        <v>318</v>
      </c>
      <c r="E82" s="49">
        <f t="shared" si="0"/>
        <v>30730</v>
      </c>
      <c r="F82" s="47" t="s">
        <v>317</v>
      </c>
      <c r="G82" s="48">
        <v>30730</v>
      </c>
      <c r="H82" s="48">
        <v>1</v>
      </c>
      <c r="I82" s="49">
        <f t="shared" si="1"/>
        <v>30730</v>
      </c>
      <c r="J82" s="47" t="s">
        <v>148</v>
      </c>
      <c r="P82" s="38"/>
      <c r="Q82" s="39"/>
      <c r="U82" s="53"/>
    </row>
    <row r="83" spans="1:21" x14ac:dyDescent="0.3">
      <c r="A83" s="52">
        <v>46067</v>
      </c>
      <c r="B83" s="47" t="s">
        <v>262</v>
      </c>
      <c r="C83" s="9" t="s">
        <v>208</v>
      </c>
      <c r="D83" s="9" t="s">
        <v>417</v>
      </c>
      <c r="E83" s="49">
        <f t="shared" si="0"/>
        <v>104900</v>
      </c>
      <c r="G83" s="48">
        <f>93300+11600</f>
        <v>104900</v>
      </c>
      <c r="H83" s="48">
        <v>1</v>
      </c>
      <c r="I83" s="49">
        <f t="shared" si="1"/>
        <v>104900</v>
      </c>
      <c r="J83" s="47" t="s">
        <v>210</v>
      </c>
      <c r="P83" s="38"/>
      <c r="Q83" s="39"/>
      <c r="U83" s="53"/>
    </row>
    <row r="84" spans="1:21" x14ac:dyDescent="0.3">
      <c r="A84" s="52">
        <v>46067</v>
      </c>
      <c r="B84" s="47" t="s">
        <v>276</v>
      </c>
      <c r="C84" s="9" t="s">
        <v>208</v>
      </c>
      <c r="D84" s="9" t="s">
        <v>373</v>
      </c>
      <c r="E84" s="49">
        <f t="shared" si="0"/>
        <v>-200000</v>
      </c>
      <c r="G84" s="48">
        <v>-200000</v>
      </c>
      <c r="H84" s="48">
        <v>1</v>
      </c>
      <c r="I84" s="49">
        <f t="shared" si="1"/>
        <v>-200000</v>
      </c>
      <c r="J84" s="47" t="s">
        <v>242</v>
      </c>
      <c r="P84" s="38" t="s">
        <v>127</v>
      </c>
      <c r="Q84" s="39"/>
      <c r="U84" s="53"/>
    </row>
    <row r="85" spans="1:21" x14ac:dyDescent="0.3">
      <c r="A85" s="52">
        <v>46067</v>
      </c>
      <c r="B85" s="47" t="s">
        <v>271</v>
      </c>
      <c r="C85" s="9" t="s">
        <v>208</v>
      </c>
      <c r="D85" s="9" t="s">
        <v>227</v>
      </c>
      <c r="E85" s="49">
        <f t="shared" si="0"/>
        <v>23500</v>
      </c>
      <c r="G85" s="48">
        <v>23500</v>
      </c>
      <c r="H85" s="48">
        <v>1</v>
      </c>
      <c r="I85" s="49">
        <f t="shared" si="1"/>
        <v>23500</v>
      </c>
      <c r="J85" s="47" t="s">
        <v>210</v>
      </c>
      <c r="P85" s="38" t="s">
        <v>128</v>
      </c>
      <c r="Q85" s="39"/>
      <c r="U85" s="53"/>
    </row>
    <row r="86" spans="1:21" ht="17.850000000000001" customHeight="1" x14ac:dyDescent="0.3">
      <c r="A86" s="52">
        <v>46067</v>
      </c>
      <c r="B86" s="47" t="s">
        <v>277</v>
      </c>
      <c r="C86" s="9" t="s">
        <v>208</v>
      </c>
      <c r="D86" s="9" t="s">
        <v>227</v>
      </c>
      <c r="E86" s="49">
        <f t="shared" si="0"/>
        <v>38000</v>
      </c>
      <c r="F86" s="55"/>
      <c r="G86" s="48">
        <v>38000</v>
      </c>
      <c r="H86" s="48">
        <v>1</v>
      </c>
      <c r="I86" s="49">
        <f t="shared" si="1"/>
        <v>38000</v>
      </c>
      <c r="J86" s="47" t="s">
        <v>210</v>
      </c>
      <c r="U86" s="53"/>
    </row>
    <row r="87" spans="1:21" x14ac:dyDescent="0.3">
      <c r="A87" s="52">
        <v>46067</v>
      </c>
      <c r="B87" s="47" t="s">
        <v>277</v>
      </c>
      <c r="C87" s="9" t="s">
        <v>208</v>
      </c>
      <c r="D87" s="9" t="s">
        <v>270</v>
      </c>
      <c r="E87" s="49">
        <f t="shared" si="0"/>
        <v>13580</v>
      </c>
      <c r="F87" s="47" t="s">
        <v>416</v>
      </c>
      <c r="G87" s="48">
        <v>13580</v>
      </c>
      <c r="H87" s="48">
        <v>1</v>
      </c>
      <c r="I87" s="49">
        <f t="shared" si="1"/>
        <v>13580</v>
      </c>
      <c r="J87" s="47" t="s">
        <v>210</v>
      </c>
      <c r="U87" s="53"/>
    </row>
    <row r="88" spans="1:21" x14ac:dyDescent="0.3">
      <c r="A88" s="52">
        <v>46068</v>
      </c>
      <c r="B88" s="47" t="s">
        <v>278</v>
      </c>
      <c r="C88" s="9" t="s">
        <v>208</v>
      </c>
      <c r="D88" s="9" t="s">
        <v>235</v>
      </c>
      <c r="E88" s="49">
        <f t="shared" si="0"/>
        <v>75616</v>
      </c>
      <c r="G88" s="48">
        <v>75616</v>
      </c>
      <c r="H88" s="48">
        <v>1</v>
      </c>
      <c r="I88" s="49">
        <f t="shared" si="1"/>
        <v>75616</v>
      </c>
      <c r="J88" s="47" t="s">
        <v>213</v>
      </c>
      <c r="U88" s="53"/>
    </row>
    <row r="89" spans="1:21" x14ac:dyDescent="0.3">
      <c r="A89" s="52">
        <v>46068</v>
      </c>
      <c r="B89" s="47" t="s">
        <v>279</v>
      </c>
      <c r="C89" s="9" t="s">
        <v>208</v>
      </c>
      <c r="D89" s="9" t="s">
        <v>227</v>
      </c>
      <c r="E89" s="49">
        <f>SUM(I89:I94)</f>
        <v>107500</v>
      </c>
      <c r="F89" s="47" t="s">
        <v>364</v>
      </c>
      <c r="G89" s="48">
        <v>19900</v>
      </c>
      <c r="H89" s="48">
        <v>1</v>
      </c>
      <c r="I89" s="49">
        <f t="shared" si="1"/>
        <v>19900</v>
      </c>
      <c r="J89" s="47" t="s">
        <v>210</v>
      </c>
      <c r="K89" s="47">
        <v>0</v>
      </c>
      <c r="U89" s="53"/>
    </row>
    <row r="90" spans="1:21" x14ac:dyDescent="0.3">
      <c r="A90" s="52">
        <v>46068</v>
      </c>
      <c r="B90" s="47" t="s">
        <v>279</v>
      </c>
      <c r="C90" s="9" t="s">
        <v>13</v>
      </c>
      <c r="D90" s="9" t="s">
        <v>270</v>
      </c>
      <c r="F90" s="47" t="s">
        <v>365</v>
      </c>
      <c r="G90" s="48">
        <v>1000</v>
      </c>
      <c r="H90" s="48">
        <v>1</v>
      </c>
      <c r="I90" s="49">
        <f t="shared" ref="I90:I94" si="9">G90*H90</f>
        <v>1000</v>
      </c>
      <c r="J90" s="47" t="s">
        <v>140</v>
      </c>
      <c r="K90" s="47">
        <v>0</v>
      </c>
      <c r="U90" s="53"/>
    </row>
    <row r="91" spans="1:21" x14ac:dyDescent="0.3">
      <c r="A91" s="52">
        <v>46068</v>
      </c>
      <c r="B91" s="47" t="s">
        <v>279</v>
      </c>
      <c r="C91" s="9" t="s">
        <v>13</v>
      </c>
      <c r="D91" s="9" t="s">
        <v>227</v>
      </c>
      <c r="F91" s="47" t="s">
        <v>366</v>
      </c>
      <c r="G91" s="48">
        <v>19900</v>
      </c>
      <c r="H91" s="48">
        <v>1</v>
      </c>
      <c r="I91" s="49">
        <f t="shared" si="9"/>
        <v>19900</v>
      </c>
      <c r="J91" s="47" t="s">
        <v>140</v>
      </c>
      <c r="K91" s="47">
        <v>0</v>
      </c>
      <c r="U91" s="53"/>
    </row>
    <row r="92" spans="1:21" x14ac:dyDescent="0.3">
      <c r="A92" s="52">
        <v>46068</v>
      </c>
      <c r="B92" s="47" t="s">
        <v>279</v>
      </c>
      <c r="C92" s="9" t="s">
        <v>13</v>
      </c>
      <c r="D92" s="9" t="s">
        <v>227</v>
      </c>
      <c r="F92" s="47" t="s">
        <v>367</v>
      </c>
      <c r="G92" s="48">
        <v>19900</v>
      </c>
      <c r="H92" s="48">
        <v>1</v>
      </c>
      <c r="I92" s="49">
        <f t="shared" si="9"/>
        <v>19900</v>
      </c>
      <c r="J92" s="47" t="s">
        <v>140</v>
      </c>
      <c r="K92" s="47">
        <v>0</v>
      </c>
      <c r="U92" s="53"/>
    </row>
    <row r="93" spans="1:21" x14ac:dyDescent="0.3">
      <c r="A93" s="52">
        <v>46068</v>
      </c>
      <c r="B93" s="47" t="s">
        <v>279</v>
      </c>
      <c r="C93" s="9" t="s">
        <v>13</v>
      </c>
      <c r="D93" s="9" t="s">
        <v>227</v>
      </c>
      <c r="F93" s="47" t="s">
        <v>368</v>
      </c>
      <c r="G93" s="48">
        <v>29900</v>
      </c>
      <c r="H93" s="48">
        <v>1</v>
      </c>
      <c r="I93" s="49">
        <f t="shared" si="9"/>
        <v>29900</v>
      </c>
      <c r="J93" s="47" t="s">
        <v>140</v>
      </c>
      <c r="K93" s="47">
        <v>0</v>
      </c>
      <c r="U93" s="53"/>
    </row>
    <row r="94" spans="1:21" x14ac:dyDescent="0.3">
      <c r="A94" s="52">
        <v>46068</v>
      </c>
      <c r="B94" s="47" t="s">
        <v>279</v>
      </c>
      <c r="C94" s="9" t="s">
        <v>13</v>
      </c>
      <c r="D94" s="9" t="s">
        <v>370</v>
      </c>
      <c r="F94" s="47" t="s">
        <v>369</v>
      </c>
      <c r="G94" s="48">
        <v>16900</v>
      </c>
      <c r="H94" s="48">
        <v>1</v>
      </c>
      <c r="I94" s="49">
        <f t="shared" si="9"/>
        <v>16900</v>
      </c>
      <c r="J94" s="47" t="s">
        <v>140</v>
      </c>
      <c r="K94" s="47">
        <v>0</v>
      </c>
      <c r="U94" s="53"/>
    </row>
    <row r="95" spans="1:21" x14ac:dyDescent="0.3">
      <c r="A95" s="52">
        <v>46068</v>
      </c>
      <c r="B95" s="47" t="s">
        <v>271</v>
      </c>
      <c r="C95" s="9" t="s">
        <v>208</v>
      </c>
      <c r="D95" s="9" t="s">
        <v>227</v>
      </c>
      <c r="E95" s="49">
        <f t="shared" si="0"/>
        <v>19000</v>
      </c>
      <c r="G95" s="48">
        <v>19000</v>
      </c>
      <c r="H95" s="48">
        <v>1</v>
      </c>
      <c r="I95" s="49">
        <f t="shared" si="1"/>
        <v>19000</v>
      </c>
      <c r="J95" s="47" t="s">
        <v>210</v>
      </c>
      <c r="U95" s="53"/>
    </row>
    <row r="96" spans="1:21" x14ac:dyDescent="0.3">
      <c r="A96" s="52">
        <v>46068</v>
      </c>
      <c r="B96" s="47" t="s">
        <v>240</v>
      </c>
      <c r="C96" s="9" t="s">
        <v>208</v>
      </c>
      <c r="D96" s="9" t="s">
        <v>209</v>
      </c>
      <c r="E96" s="49">
        <f t="shared" si="0"/>
        <v>29000</v>
      </c>
      <c r="G96" s="48">
        <v>29000</v>
      </c>
      <c r="H96" s="48">
        <v>1</v>
      </c>
      <c r="I96" s="49">
        <f t="shared" si="1"/>
        <v>29000</v>
      </c>
      <c r="J96" s="47" t="s">
        <v>210</v>
      </c>
      <c r="U96" s="53"/>
    </row>
    <row r="97" spans="1:21" x14ac:dyDescent="0.3">
      <c r="A97" s="52">
        <v>46069</v>
      </c>
      <c r="B97" s="47" t="s">
        <v>280</v>
      </c>
      <c r="C97" s="9" t="s">
        <v>208</v>
      </c>
      <c r="D97" s="9" t="s">
        <v>209</v>
      </c>
      <c r="E97" s="49">
        <f t="shared" si="0"/>
        <v>56800</v>
      </c>
      <c r="F97" s="47" t="s">
        <v>407</v>
      </c>
      <c r="G97" s="48">
        <v>56800</v>
      </c>
      <c r="H97" s="48">
        <v>1</v>
      </c>
      <c r="I97" s="49">
        <f t="shared" si="1"/>
        <v>56800</v>
      </c>
      <c r="J97" s="47" t="s">
        <v>210</v>
      </c>
      <c r="K97" s="47">
        <v>0</v>
      </c>
      <c r="U97" s="53"/>
    </row>
    <row r="98" spans="1:21" x14ac:dyDescent="0.3">
      <c r="A98" s="52">
        <v>46070</v>
      </c>
      <c r="B98" s="47" t="s">
        <v>281</v>
      </c>
      <c r="C98" s="9" t="s">
        <v>208</v>
      </c>
      <c r="D98" s="9" t="s">
        <v>209</v>
      </c>
      <c r="E98" s="49">
        <f t="shared" si="0"/>
        <v>25800</v>
      </c>
      <c r="F98" s="47" t="s">
        <v>408</v>
      </c>
      <c r="G98" s="48">
        <v>25800</v>
      </c>
      <c r="H98" s="48">
        <v>1</v>
      </c>
      <c r="I98" s="49">
        <f t="shared" si="1"/>
        <v>25800</v>
      </c>
      <c r="J98" s="47" t="s">
        <v>210</v>
      </c>
      <c r="K98" s="47">
        <v>0</v>
      </c>
      <c r="U98" s="53"/>
    </row>
    <row r="99" spans="1:21" x14ac:dyDescent="0.3">
      <c r="A99" s="52">
        <v>46070</v>
      </c>
      <c r="B99" s="47" t="s">
        <v>282</v>
      </c>
      <c r="C99" s="9" t="s">
        <v>208</v>
      </c>
      <c r="D99" s="9" t="s">
        <v>209</v>
      </c>
      <c r="E99" s="49">
        <f t="shared" si="0"/>
        <v>24200</v>
      </c>
      <c r="F99" s="47" t="s">
        <v>398</v>
      </c>
      <c r="G99" s="48">
        <v>24200</v>
      </c>
      <c r="H99" s="48">
        <v>1</v>
      </c>
      <c r="I99" s="49">
        <f t="shared" si="1"/>
        <v>24200</v>
      </c>
      <c r="J99" s="47" t="s">
        <v>210</v>
      </c>
      <c r="K99" s="47">
        <v>0</v>
      </c>
      <c r="U99" s="53"/>
    </row>
    <row r="100" spans="1:21" x14ac:dyDescent="0.3">
      <c r="A100" s="52">
        <v>46071</v>
      </c>
      <c r="B100" s="47" t="s">
        <v>207</v>
      </c>
      <c r="C100" s="9" t="s">
        <v>208</v>
      </c>
      <c r="D100" s="9" t="s">
        <v>209</v>
      </c>
      <c r="E100" s="49">
        <f t="shared" si="0"/>
        <v>24900</v>
      </c>
      <c r="F100" s="47" t="s">
        <v>347</v>
      </c>
      <c r="G100" s="48">
        <v>24900</v>
      </c>
      <c r="H100" s="48">
        <v>1</v>
      </c>
      <c r="I100" s="49">
        <f t="shared" si="1"/>
        <v>24900</v>
      </c>
      <c r="J100" s="47" t="s">
        <v>210</v>
      </c>
      <c r="K100" s="47">
        <v>0</v>
      </c>
      <c r="U100" s="53"/>
    </row>
    <row r="101" spans="1:21" x14ac:dyDescent="0.3">
      <c r="A101" s="52">
        <v>46071</v>
      </c>
      <c r="B101" s="47" t="s">
        <v>283</v>
      </c>
      <c r="C101" s="9" t="s">
        <v>208</v>
      </c>
      <c r="D101" s="9" t="s">
        <v>209</v>
      </c>
      <c r="E101" s="49">
        <f t="shared" si="0"/>
        <v>27600</v>
      </c>
      <c r="F101" s="47" t="s">
        <v>406</v>
      </c>
      <c r="G101" s="48">
        <v>27600</v>
      </c>
      <c r="H101" s="48">
        <v>1</v>
      </c>
      <c r="I101" s="49">
        <f t="shared" si="1"/>
        <v>27600</v>
      </c>
      <c r="J101" s="47" t="s">
        <v>210</v>
      </c>
      <c r="K101" s="47">
        <v>0</v>
      </c>
      <c r="U101" s="53"/>
    </row>
    <row r="102" spans="1:21" x14ac:dyDescent="0.3">
      <c r="A102" s="52">
        <v>46072</v>
      </c>
      <c r="B102" s="47" t="s">
        <v>214</v>
      </c>
      <c r="C102" s="9" t="s">
        <v>215</v>
      </c>
      <c r="D102" s="9" t="s">
        <v>203</v>
      </c>
      <c r="E102" s="49">
        <f t="shared" si="0"/>
        <v>7400</v>
      </c>
      <c r="F102" s="60" t="s">
        <v>329</v>
      </c>
      <c r="G102" s="48">
        <v>7400</v>
      </c>
      <c r="H102" s="48">
        <v>1</v>
      </c>
      <c r="I102" s="49">
        <f t="shared" si="1"/>
        <v>7400</v>
      </c>
      <c r="J102" s="47" t="s">
        <v>210</v>
      </c>
      <c r="K102" s="47">
        <v>0</v>
      </c>
      <c r="U102" s="53"/>
    </row>
    <row r="103" spans="1:21" x14ac:dyDescent="0.3">
      <c r="A103" s="52">
        <v>46072</v>
      </c>
      <c r="B103" s="47" t="s">
        <v>222</v>
      </c>
      <c r="C103" s="9" t="s">
        <v>215</v>
      </c>
      <c r="D103" s="9" t="s">
        <v>223</v>
      </c>
      <c r="E103" s="49">
        <f t="shared" si="0"/>
        <v>82500</v>
      </c>
      <c r="F103" s="47" t="s">
        <v>357</v>
      </c>
      <c r="G103" s="48">
        <v>82500</v>
      </c>
      <c r="H103" s="48">
        <v>1</v>
      </c>
      <c r="I103" s="49">
        <f t="shared" si="1"/>
        <v>82500</v>
      </c>
      <c r="J103" s="47" t="s">
        <v>210</v>
      </c>
      <c r="K103" s="47">
        <v>0</v>
      </c>
      <c r="U103" s="53"/>
    </row>
    <row r="104" spans="1:21" x14ac:dyDescent="0.3">
      <c r="A104" s="52">
        <v>46072</v>
      </c>
      <c r="B104" s="47" t="s">
        <v>224</v>
      </c>
      <c r="C104" s="9" t="s">
        <v>215</v>
      </c>
      <c r="D104" s="9" t="s">
        <v>332</v>
      </c>
      <c r="E104" s="49">
        <f t="shared" si="0"/>
        <v>3900</v>
      </c>
      <c r="F104" s="47" t="s">
        <v>333</v>
      </c>
      <c r="G104" s="48">
        <v>3900</v>
      </c>
      <c r="H104" s="48">
        <v>1</v>
      </c>
      <c r="I104" s="49">
        <f t="shared" si="1"/>
        <v>3900</v>
      </c>
      <c r="J104" s="47" t="s">
        <v>210</v>
      </c>
      <c r="K104" s="47">
        <v>0</v>
      </c>
      <c r="U104" s="53"/>
    </row>
    <row r="105" spans="1:21" x14ac:dyDescent="0.3">
      <c r="A105" s="52">
        <v>46072</v>
      </c>
      <c r="B105" s="47" t="s">
        <v>255</v>
      </c>
      <c r="C105" s="9" t="s">
        <v>215</v>
      </c>
      <c r="D105" s="9" t="s">
        <v>204</v>
      </c>
      <c r="E105" s="49">
        <f t="shared" si="0"/>
        <v>1000</v>
      </c>
      <c r="G105" s="48">
        <v>1000</v>
      </c>
      <c r="H105" s="48">
        <v>1</v>
      </c>
      <c r="I105" s="49">
        <f t="shared" si="1"/>
        <v>1000</v>
      </c>
      <c r="J105" s="47" t="s">
        <v>210</v>
      </c>
      <c r="U105" s="53"/>
    </row>
    <row r="106" spans="1:21" x14ac:dyDescent="0.3">
      <c r="A106" s="52">
        <v>46073</v>
      </c>
      <c r="B106" s="47" t="s">
        <v>214</v>
      </c>
      <c r="C106" s="9" t="s">
        <v>215</v>
      </c>
      <c r="D106" s="9" t="s">
        <v>203</v>
      </c>
      <c r="E106" s="49">
        <f t="shared" si="0"/>
        <v>7600</v>
      </c>
      <c r="F106" s="47" t="s">
        <v>337</v>
      </c>
      <c r="G106" s="48">
        <v>7600</v>
      </c>
      <c r="H106" s="48">
        <v>1</v>
      </c>
      <c r="I106" s="49">
        <f t="shared" si="1"/>
        <v>7600</v>
      </c>
      <c r="J106" s="47" t="s">
        <v>210</v>
      </c>
      <c r="K106" s="47">
        <v>0</v>
      </c>
      <c r="U106" s="53"/>
    </row>
    <row r="107" spans="1:21" x14ac:dyDescent="0.3">
      <c r="A107" s="52">
        <v>46073</v>
      </c>
      <c r="B107" s="47" t="s">
        <v>284</v>
      </c>
      <c r="C107" s="9" t="s">
        <v>219</v>
      </c>
      <c r="D107" s="9" t="s">
        <v>209</v>
      </c>
      <c r="E107" s="49">
        <f t="shared" si="0"/>
        <v>10400</v>
      </c>
      <c r="F107" s="47" t="s">
        <v>404</v>
      </c>
      <c r="G107" s="48">
        <v>10400</v>
      </c>
      <c r="H107" s="48">
        <v>1</v>
      </c>
      <c r="I107" s="49">
        <f t="shared" si="1"/>
        <v>10400</v>
      </c>
      <c r="J107" s="47" t="s">
        <v>210</v>
      </c>
      <c r="K107" s="47">
        <v>0</v>
      </c>
      <c r="U107" s="53"/>
    </row>
    <row r="108" spans="1:21" x14ac:dyDescent="0.3">
      <c r="A108" s="52">
        <v>46073</v>
      </c>
      <c r="B108" s="47" t="s">
        <v>285</v>
      </c>
      <c r="C108" s="9" t="s">
        <v>208</v>
      </c>
      <c r="D108" s="9" t="s">
        <v>209</v>
      </c>
      <c r="E108" s="49">
        <f t="shared" si="0"/>
        <v>26800</v>
      </c>
      <c r="F108" s="47" t="s">
        <v>403</v>
      </c>
      <c r="G108" s="48">
        <v>26800</v>
      </c>
      <c r="H108" s="48">
        <v>1</v>
      </c>
      <c r="I108" s="49">
        <f t="shared" si="1"/>
        <v>26800</v>
      </c>
      <c r="J108" s="47" t="s">
        <v>210</v>
      </c>
      <c r="K108" s="47">
        <v>0</v>
      </c>
      <c r="U108" s="53"/>
    </row>
    <row r="109" spans="1:21" x14ac:dyDescent="0.3">
      <c r="A109" s="52">
        <v>46073</v>
      </c>
      <c r="B109" s="47" t="s">
        <v>222</v>
      </c>
      <c r="C109" s="9" t="s">
        <v>215</v>
      </c>
      <c r="D109" s="9" t="s">
        <v>223</v>
      </c>
      <c r="E109" s="49">
        <f t="shared" si="0"/>
        <v>14600</v>
      </c>
      <c r="G109" s="48">
        <v>14600</v>
      </c>
      <c r="H109" s="48">
        <v>1</v>
      </c>
      <c r="I109" s="49">
        <f t="shared" si="1"/>
        <v>14600</v>
      </c>
      <c r="J109" s="47" t="s">
        <v>210</v>
      </c>
      <c r="U109" s="53"/>
    </row>
    <row r="110" spans="1:21" x14ac:dyDescent="0.3">
      <c r="A110" s="52">
        <v>46073</v>
      </c>
      <c r="B110" s="47" t="s">
        <v>241</v>
      </c>
      <c r="C110" s="9" t="s">
        <v>15</v>
      </c>
      <c r="D110" s="9" t="s">
        <v>227</v>
      </c>
      <c r="E110" s="49">
        <f t="shared" si="0"/>
        <v>3300</v>
      </c>
      <c r="F110" s="47" t="s">
        <v>355</v>
      </c>
      <c r="G110" s="48">
        <v>3300</v>
      </c>
      <c r="H110" s="48">
        <v>1</v>
      </c>
      <c r="I110" s="49">
        <f t="shared" si="1"/>
        <v>3300</v>
      </c>
      <c r="J110" s="47" t="s">
        <v>242</v>
      </c>
      <c r="K110" s="47">
        <v>0</v>
      </c>
      <c r="U110" s="53"/>
    </row>
    <row r="111" spans="1:21" x14ac:dyDescent="0.3">
      <c r="A111" s="52">
        <v>46073</v>
      </c>
      <c r="B111" s="47" t="s">
        <v>241</v>
      </c>
      <c r="C111" s="9" t="s">
        <v>208</v>
      </c>
      <c r="D111" s="9" t="s">
        <v>252</v>
      </c>
      <c r="E111" s="49">
        <f t="shared" si="0"/>
        <v>600</v>
      </c>
      <c r="F111" s="47" t="s">
        <v>356</v>
      </c>
      <c r="G111" s="48">
        <v>600</v>
      </c>
      <c r="H111" s="48">
        <v>1</v>
      </c>
      <c r="I111" s="49">
        <f t="shared" si="1"/>
        <v>600</v>
      </c>
      <c r="J111" s="47" t="s">
        <v>242</v>
      </c>
      <c r="K111" s="47">
        <v>0</v>
      </c>
      <c r="U111" s="53"/>
    </row>
    <row r="112" spans="1:21" x14ac:dyDescent="0.3">
      <c r="A112" s="52">
        <v>46073</v>
      </c>
      <c r="B112" s="47" t="s">
        <v>313</v>
      </c>
      <c r="C112" s="9" t="s">
        <v>14</v>
      </c>
      <c r="D112" s="9" t="s">
        <v>20</v>
      </c>
      <c r="E112" s="49">
        <f t="shared" ref="E112" si="10">SUM(I112:I112)</f>
        <v>-6475664</v>
      </c>
      <c r="F112" s="47" t="s">
        <v>314</v>
      </c>
      <c r="G112" s="48">
        <v>-6475664</v>
      </c>
      <c r="H112" s="48">
        <v>1</v>
      </c>
      <c r="I112" s="49">
        <f>G112*H112</f>
        <v>-6475664</v>
      </c>
      <c r="J112" s="47" t="s">
        <v>315</v>
      </c>
      <c r="U112" s="53"/>
    </row>
    <row r="113" spans="1:21" x14ac:dyDescent="0.3">
      <c r="A113" s="52">
        <v>46074</v>
      </c>
      <c r="B113" s="47" t="s">
        <v>286</v>
      </c>
      <c r="C113" s="9" t="s">
        <v>208</v>
      </c>
      <c r="D113" s="9" t="s">
        <v>209</v>
      </c>
      <c r="E113" s="49">
        <f t="shared" si="0"/>
        <v>20900</v>
      </c>
      <c r="F113" s="47" t="s">
        <v>402</v>
      </c>
      <c r="G113" s="48">
        <v>20900</v>
      </c>
      <c r="H113" s="48">
        <v>1</v>
      </c>
      <c r="I113" s="49">
        <f t="shared" si="1"/>
        <v>20900</v>
      </c>
      <c r="J113" s="47" t="s">
        <v>140</v>
      </c>
      <c r="K113" s="47">
        <v>0</v>
      </c>
      <c r="U113" s="53"/>
    </row>
    <row r="114" spans="1:21" x14ac:dyDescent="0.3">
      <c r="A114" s="52">
        <v>46074</v>
      </c>
      <c r="B114" s="47" t="s">
        <v>244</v>
      </c>
      <c r="C114" s="9" t="s">
        <v>208</v>
      </c>
      <c r="D114" s="9" t="s">
        <v>209</v>
      </c>
      <c r="E114" s="49">
        <f t="shared" si="0"/>
        <v>14200</v>
      </c>
      <c r="F114" s="47" t="s">
        <v>401</v>
      </c>
      <c r="G114" s="48">
        <v>14200</v>
      </c>
      <c r="H114" s="48">
        <v>1</v>
      </c>
      <c r="I114" s="49">
        <f t="shared" si="1"/>
        <v>14200</v>
      </c>
      <c r="J114" s="47" t="s">
        <v>140</v>
      </c>
      <c r="K114" s="47">
        <v>0</v>
      </c>
      <c r="U114" s="53"/>
    </row>
    <row r="115" spans="1:21" x14ac:dyDescent="0.3">
      <c r="A115" s="52">
        <v>46074</v>
      </c>
      <c r="B115" s="47" t="s">
        <v>287</v>
      </c>
      <c r="C115" s="9" t="s">
        <v>208</v>
      </c>
      <c r="D115" s="9" t="s">
        <v>209</v>
      </c>
      <c r="E115" s="49">
        <f t="shared" si="0"/>
        <v>30000</v>
      </c>
      <c r="F115" s="47" t="s">
        <v>400</v>
      </c>
      <c r="G115" s="48">
        <v>30000</v>
      </c>
      <c r="H115" s="48">
        <v>1</v>
      </c>
      <c r="I115" s="49">
        <f t="shared" si="1"/>
        <v>30000</v>
      </c>
      <c r="J115" s="47" t="s">
        <v>140</v>
      </c>
      <c r="K115" s="47">
        <v>0</v>
      </c>
      <c r="U115" s="53"/>
    </row>
    <row r="116" spans="1:21" x14ac:dyDescent="0.3">
      <c r="A116" s="52">
        <v>46074</v>
      </c>
      <c r="B116" s="47" t="s">
        <v>251</v>
      </c>
      <c r="C116" s="9" t="s">
        <v>208</v>
      </c>
      <c r="D116" s="9" t="s">
        <v>235</v>
      </c>
      <c r="E116" s="49">
        <f t="shared" si="0"/>
        <v>15080</v>
      </c>
      <c r="F116" s="47" t="s">
        <v>288</v>
      </c>
      <c r="G116" s="48">
        <v>15080</v>
      </c>
      <c r="H116" s="48">
        <v>1</v>
      </c>
      <c r="I116" s="49">
        <f t="shared" si="1"/>
        <v>15080</v>
      </c>
      <c r="J116" s="47" t="s">
        <v>210</v>
      </c>
      <c r="U116" s="53"/>
    </row>
    <row r="117" spans="1:21" x14ac:dyDescent="0.3">
      <c r="A117" s="52">
        <v>46075</v>
      </c>
      <c r="B117" s="47" t="s">
        <v>220</v>
      </c>
      <c r="C117" s="9" t="s">
        <v>208</v>
      </c>
      <c r="D117" s="9" t="s">
        <v>209</v>
      </c>
      <c r="E117" s="49">
        <f t="shared" si="0"/>
        <v>14300</v>
      </c>
      <c r="F117" s="47" t="s">
        <v>399</v>
      </c>
      <c r="G117" s="48">
        <v>14300</v>
      </c>
      <c r="H117" s="48">
        <v>1</v>
      </c>
      <c r="I117" s="49">
        <f t="shared" si="1"/>
        <v>14300</v>
      </c>
      <c r="J117" s="47" t="s">
        <v>210</v>
      </c>
      <c r="K117" s="47">
        <v>0</v>
      </c>
      <c r="U117" s="53"/>
    </row>
    <row r="118" spans="1:21" x14ac:dyDescent="0.3">
      <c r="A118" s="52">
        <v>46075</v>
      </c>
      <c r="B118" s="47" t="s">
        <v>289</v>
      </c>
      <c r="C118" s="9" t="s">
        <v>208</v>
      </c>
      <c r="D118" s="9" t="s">
        <v>209</v>
      </c>
      <c r="E118" s="49">
        <f t="shared" si="0"/>
        <v>24900</v>
      </c>
      <c r="F118" s="47" t="s">
        <v>397</v>
      </c>
      <c r="G118" s="48">
        <v>24900</v>
      </c>
      <c r="H118" s="48">
        <v>1</v>
      </c>
      <c r="I118" s="49">
        <f t="shared" si="1"/>
        <v>24900</v>
      </c>
      <c r="J118" s="47" t="s">
        <v>210</v>
      </c>
      <c r="K118" s="47">
        <v>0</v>
      </c>
      <c r="U118" s="53"/>
    </row>
    <row r="119" spans="1:21" x14ac:dyDescent="0.3">
      <c r="A119" s="52">
        <v>46076</v>
      </c>
      <c r="B119" s="47" t="s">
        <v>238</v>
      </c>
      <c r="C119" s="9" t="s">
        <v>215</v>
      </c>
      <c r="D119" s="9" t="s">
        <v>239</v>
      </c>
      <c r="E119" s="49">
        <f t="shared" si="0"/>
        <v>-4600</v>
      </c>
      <c r="G119" s="48">
        <v>-4600</v>
      </c>
      <c r="H119" s="48">
        <v>1</v>
      </c>
      <c r="I119" s="49">
        <f t="shared" si="1"/>
        <v>-4600</v>
      </c>
      <c r="J119" s="47" t="s">
        <v>242</v>
      </c>
      <c r="U119" s="53"/>
    </row>
    <row r="120" spans="1:21" x14ac:dyDescent="0.3">
      <c r="A120" s="52">
        <v>46076</v>
      </c>
      <c r="B120" s="47" t="s">
        <v>214</v>
      </c>
      <c r="C120" s="9" t="s">
        <v>215</v>
      </c>
      <c r="D120" s="9" t="s">
        <v>203</v>
      </c>
      <c r="E120" s="49">
        <f t="shared" si="0"/>
        <v>6800</v>
      </c>
      <c r="G120" s="48">
        <v>6800</v>
      </c>
      <c r="H120" s="48">
        <v>1</v>
      </c>
      <c r="I120" s="49">
        <f t="shared" si="1"/>
        <v>6800</v>
      </c>
      <c r="J120" s="47" t="s">
        <v>210</v>
      </c>
      <c r="U120" s="53"/>
    </row>
    <row r="121" spans="1:21" x14ac:dyDescent="0.3">
      <c r="A121" s="52">
        <v>46076</v>
      </c>
      <c r="B121" s="47" t="s">
        <v>228</v>
      </c>
      <c r="C121" s="9" t="s">
        <v>215</v>
      </c>
      <c r="D121" s="9" t="s">
        <v>230</v>
      </c>
      <c r="E121" s="49">
        <f t="shared" si="0"/>
        <v>3400</v>
      </c>
      <c r="F121" s="47" t="s">
        <v>330</v>
      </c>
      <c r="G121" s="48">
        <v>3400</v>
      </c>
      <c r="H121" s="48">
        <v>1</v>
      </c>
      <c r="I121" s="49">
        <f t="shared" si="1"/>
        <v>3400</v>
      </c>
      <c r="J121" s="47" t="s">
        <v>210</v>
      </c>
      <c r="K121" s="47">
        <v>0</v>
      </c>
      <c r="U121" s="53"/>
    </row>
    <row r="122" spans="1:21" x14ac:dyDescent="0.3">
      <c r="A122" s="52">
        <v>46076</v>
      </c>
      <c r="B122" s="47" t="s">
        <v>238</v>
      </c>
      <c r="C122" s="9" t="s">
        <v>215</v>
      </c>
      <c r="D122" s="9" t="s">
        <v>239</v>
      </c>
      <c r="E122" s="49">
        <f t="shared" ref="E122:E205" si="11">SUM(I122:I122)</f>
        <v>-73850</v>
      </c>
      <c r="G122" s="48">
        <v>-73850</v>
      </c>
      <c r="H122" s="48">
        <v>1</v>
      </c>
      <c r="I122" s="49">
        <f t="shared" si="1"/>
        <v>-73850</v>
      </c>
      <c r="J122" s="47" t="s">
        <v>242</v>
      </c>
      <c r="U122" s="53"/>
    </row>
    <row r="123" spans="1:21" x14ac:dyDescent="0.3">
      <c r="A123" s="52">
        <v>46076</v>
      </c>
      <c r="B123" s="47" t="s">
        <v>259</v>
      </c>
      <c r="C123" s="9" t="s">
        <v>219</v>
      </c>
      <c r="D123" s="9" t="s">
        <v>230</v>
      </c>
      <c r="E123" s="49">
        <f t="shared" si="11"/>
        <v>4250</v>
      </c>
      <c r="G123" s="48">
        <v>4250</v>
      </c>
      <c r="H123" s="48">
        <v>1</v>
      </c>
      <c r="I123" s="49">
        <f t="shared" ref="I123:I206" si="12">G123*H123</f>
        <v>4250</v>
      </c>
      <c r="J123" s="47" t="s">
        <v>213</v>
      </c>
      <c r="U123" s="53"/>
    </row>
    <row r="124" spans="1:21" x14ac:dyDescent="0.3">
      <c r="A124" s="52">
        <v>46076</v>
      </c>
      <c r="B124" s="47" t="s">
        <v>222</v>
      </c>
      <c r="C124" s="9" t="s">
        <v>215</v>
      </c>
      <c r="D124" s="9" t="s">
        <v>223</v>
      </c>
      <c r="E124" s="49">
        <f t="shared" si="11"/>
        <v>14600</v>
      </c>
      <c r="G124" s="48">
        <v>14600</v>
      </c>
      <c r="H124" s="48">
        <v>1</v>
      </c>
      <c r="I124" s="49">
        <f t="shared" si="12"/>
        <v>14600</v>
      </c>
      <c r="J124" s="47" t="s">
        <v>210</v>
      </c>
      <c r="K124" s="47">
        <v>0</v>
      </c>
      <c r="U124" s="53"/>
    </row>
    <row r="125" spans="1:21" x14ac:dyDescent="0.3">
      <c r="A125" s="52">
        <v>46076</v>
      </c>
      <c r="B125" s="47" t="s">
        <v>224</v>
      </c>
      <c r="C125" s="9" t="s">
        <v>215</v>
      </c>
      <c r="D125" s="9" t="s">
        <v>332</v>
      </c>
      <c r="E125" s="49">
        <f t="shared" si="11"/>
        <v>4300</v>
      </c>
      <c r="G125" s="48">
        <v>4300</v>
      </c>
      <c r="H125" s="48">
        <v>1</v>
      </c>
      <c r="I125" s="49">
        <f t="shared" si="12"/>
        <v>4300</v>
      </c>
      <c r="J125" s="47" t="s">
        <v>210</v>
      </c>
      <c r="U125" s="53"/>
    </row>
    <row r="126" spans="1:21" x14ac:dyDescent="0.3">
      <c r="A126" s="52">
        <v>46076</v>
      </c>
      <c r="B126" s="47" t="s">
        <v>255</v>
      </c>
      <c r="C126" s="9" t="s">
        <v>215</v>
      </c>
      <c r="D126" s="9" t="s">
        <v>204</v>
      </c>
      <c r="E126" s="49">
        <f t="shared" si="11"/>
        <v>2000</v>
      </c>
      <c r="G126" s="48">
        <v>2000</v>
      </c>
      <c r="H126" s="48">
        <v>1</v>
      </c>
      <c r="I126" s="49">
        <f t="shared" si="12"/>
        <v>2000</v>
      </c>
      <c r="J126" s="47" t="s">
        <v>210</v>
      </c>
      <c r="U126" s="53"/>
    </row>
    <row r="127" spans="1:21" x14ac:dyDescent="0.3">
      <c r="A127" s="52">
        <v>46077</v>
      </c>
      <c r="B127" s="47" t="s">
        <v>290</v>
      </c>
      <c r="C127" s="9" t="s">
        <v>13</v>
      </c>
      <c r="D127" s="9" t="s">
        <v>375</v>
      </c>
      <c r="E127" s="61">
        <f>SUM(I127:I143)</f>
        <v>377180</v>
      </c>
      <c r="F127" s="47" t="s">
        <v>393</v>
      </c>
      <c r="G127" s="48">
        <v>44760</v>
      </c>
      <c r="H127" s="48">
        <v>1</v>
      </c>
      <c r="I127" s="49">
        <f t="shared" si="12"/>
        <v>44760</v>
      </c>
      <c r="J127" s="47" t="s">
        <v>201</v>
      </c>
      <c r="U127" s="53"/>
    </row>
    <row r="128" spans="1:21" x14ac:dyDescent="0.3">
      <c r="A128" s="52">
        <v>46077</v>
      </c>
      <c r="B128" s="47" t="s">
        <v>392</v>
      </c>
      <c r="C128" s="9" t="s">
        <v>13</v>
      </c>
      <c r="D128" s="9" t="s">
        <v>376</v>
      </c>
      <c r="E128" s="61"/>
      <c r="F128" s="47" t="s">
        <v>394</v>
      </c>
      <c r="G128" s="48">
        <v>93500</v>
      </c>
      <c r="H128" s="48">
        <v>1</v>
      </c>
      <c r="I128" s="49">
        <f t="shared" si="12"/>
        <v>93500</v>
      </c>
      <c r="J128" s="47" t="s">
        <v>201</v>
      </c>
      <c r="U128" s="53"/>
    </row>
    <row r="129" spans="1:21" x14ac:dyDescent="0.3">
      <c r="A129" s="52">
        <v>46077</v>
      </c>
      <c r="B129" s="47" t="s">
        <v>377</v>
      </c>
      <c r="C129" s="9" t="s">
        <v>13</v>
      </c>
      <c r="D129" s="9" t="s">
        <v>378</v>
      </c>
      <c r="E129" s="61"/>
      <c r="F129" s="47" t="s">
        <v>395</v>
      </c>
      <c r="G129" s="48">
        <v>18650</v>
      </c>
      <c r="H129" s="48">
        <v>1</v>
      </c>
      <c r="I129" s="49">
        <f t="shared" si="12"/>
        <v>18650</v>
      </c>
      <c r="J129" s="47" t="s">
        <v>201</v>
      </c>
      <c r="U129" s="53"/>
    </row>
    <row r="130" spans="1:21" x14ac:dyDescent="0.3">
      <c r="A130" s="52">
        <v>46077</v>
      </c>
      <c r="B130" s="47" t="s">
        <v>377</v>
      </c>
      <c r="C130" s="9" t="s">
        <v>13</v>
      </c>
      <c r="D130" s="9" t="s">
        <v>378</v>
      </c>
      <c r="E130" s="61"/>
      <c r="F130" s="47" t="s">
        <v>396</v>
      </c>
      <c r="G130" s="48">
        <v>61670</v>
      </c>
      <c r="H130" s="48">
        <v>1</v>
      </c>
      <c r="I130" s="49">
        <f t="shared" si="12"/>
        <v>61670</v>
      </c>
      <c r="J130" s="47" t="s">
        <v>201</v>
      </c>
      <c r="U130" s="53"/>
    </row>
    <row r="131" spans="1:21" x14ac:dyDescent="0.3">
      <c r="A131" s="52">
        <v>46077</v>
      </c>
      <c r="B131" s="47" t="s">
        <v>377</v>
      </c>
      <c r="C131" s="9" t="s">
        <v>13</v>
      </c>
      <c r="D131" s="9" t="s">
        <v>291</v>
      </c>
      <c r="E131" s="61"/>
      <c r="F131" s="47" t="s">
        <v>379</v>
      </c>
      <c r="G131" s="48">
        <v>66610</v>
      </c>
      <c r="H131" s="48">
        <v>1</v>
      </c>
      <c r="I131" s="49">
        <f t="shared" si="12"/>
        <v>66610</v>
      </c>
      <c r="J131" s="47" t="s">
        <v>201</v>
      </c>
      <c r="U131" s="53"/>
    </row>
    <row r="132" spans="1:21" x14ac:dyDescent="0.3">
      <c r="A132" s="52">
        <v>46077</v>
      </c>
      <c r="B132" s="47" t="s">
        <v>377</v>
      </c>
      <c r="C132" s="9" t="s">
        <v>13</v>
      </c>
      <c r="D132" s="9" t="s">
        <v>291</v>
      </c>
      <c r="E132" s="61"/>
      <c r="F132" s="47" t="s">
        <v>380</v>
      </c>
      <c r="G132" s="48">
        <v>34930</v>
      </c>
      <c r="H132" s="48">
        <v>1</v>
      </c>
      <c r="I132" s="49">
        <f t="shared" si="12"/>
        <v>34930</v>
      </c>
      <c r="J132" s="47" t="s">
        <v>201</v>
      </c>
      <c r="U132" s="53"/>
    </row>
    <row r="133" spans="1:21" x14ac:dyDescent="0.3">
      <c r="A133" s="52">
        <v>46077</v>
      </c>
      <c r="B133" s="47" t="s">
        <v>377</v>
      </c>
      <c r="C133" s="9" t="s">
        <v>13</v>
      </c>
      <c r="D133" s="9" t="s">
        <v>291</v>
      </c>
      <c r="E133" s="61"/>
      <c r="F133" s="47" t="s">
        <v>381</v>
      </c>
      <c r="G133" s="48">
        <v>24120</v>
      </c>
      <c r="H133" s="48">
        <v>1</v>
      </c>
      <c r="I133" s="49">
        <f t="shared" si="12"/>
        <v>24120</v>
      </c>
      <c r="J133" s="47" t="s">
        <v>201</v>
      </c>
      <c r="U133" s="53"/>
    </row>
    <row r="134" spans="1:21" x14ac:dyDescent="0.3">
      <c r="A134" s="52">
        <v>46077</v>
      </c>
      <c r="B134" s="47" t="s">
        <v>377</v>
      </c>
      <c r="C134" s="9" t="s">
        <v>13</v>
      </c>
      <c r="D134" s="9" t="s">
        <v>291</v>
      </c>
      <c r="E134" s="61"/>
      <c r="F134" s="47" t="s">
        <v>382</v>
      </c>
      <c r="G134" s="48">
        <v>740</v>
      </c>
      <c r="H134" s="48">
        <v>1</v>
      </c>
      <c r="I134" s="49">
        <f t="shared" si="12"/>
        <v>740</v>
      </c>
      <c r="J134" s="47" t="s">
        <v>201</v>
      </c>
      <c r="U134" s="53"/>
    </row>
    <row r="135" spans="1:21" x14ac:dyDescent="0.3">
      <c r="A135" s="52">
        <v>46077</v>
      </c>
      <c r="B135" s="47" t="s">
        <v>377</v>
      </c>
      <c r="C135" s="9" t="s">
        <v>13</v>
      </c>
      <c r="D135" s="9" t="s">
        <v>291</v>
      </c>
      <c r="E135" s="61"/>
      <c r="F135" s="47" t="s">
        <v>383</v>
      </c>
      <c r="G135" s="48">
        <v>4740</v>
      </c>
      <c r="H135" s="48">
        <v>1</v>
      </c>
      <c r="I135" s="49">
        <f t="shared" si="12"/>
        <v>4740</v>
      </c>
      <c r="J135" s="47" t="s">
        <v>201</v>
      </c>
      <c r="U135" s="53"/>
    </row>
    <row r="136" spans="1:21" x14ac:dyDescent="0.3">
      <c r="A136" s="52">
        <v>46077</v>
      </c>
      <c r="B136" s="47" t="s">
        <v>377</v>
      </c>
      <c r="C136" s="9" t="s">
        <v>13</v>
      </c>
      <c r="D136" s="9" t="s">
        <v>291</v>
      </c>
      <c r="E136" s="61"/>
      <c r="F136" s="47" t="s">
        <v>384</v>
      </c>
      <c r="G136" s="48">
        <v>3900</v>
      </c>
      <c r="H136" s="48">
        <v>1</v>
      </c>
      <c r="I136" s="49">
        <f t="shared" si="12"/>
        <v>3900</v>
      </c>
      <c r="J136" s="47" t="s">
        <v>201</v>
      </c>
      <c r="U136" s="53"/>
    </row>
    <row r="137" spans="1:21" x14ac:dyDescent="0.3">
      <c r="A137" s="52">
        <v>46077</v>
      </c>
      <c r="B137" s="47" t="s">
        <v>377</v>
      </c>
      <c r="C137" s="9" t="s">
        <v>13</v>
      </c>
      <c r="D137" s="9" t="s">
        <v>291</v>
      </c>
      <c r="E137" s="61"/>
      <c r="F137" s="47" t="s">
        <v>385</v>
      </c>
      <c r="G137" s="48">
        <v>28820</v>
      </c>
      <c r="H137" s="48">
        <v>1</v>
      </c>
      <c r="I137" s="49">
        <f t="shared" si="12"/>
        <v>28820</v>
      </c>
      <c r="J137" s="47" t="s">
        <v>201</v>
      </c>
      <c r="U137" s="53"/>
    </row>
    <row r="138" spans="1:21" x14ac:dyDescent="0.3">
      <c r="A138" s="52">
        <v>46077</v>
      </c>
      <c r="B138" s="47" t="s">
        <v>377</v>
      </c>
      <c r="C138" s="9" t="s">
        <v>13</v>
      </c>
      <c r="D138" s="9" t="s">
        <v>291</v>
      </c>
      <c r="E138" s="61"/>
      <c r="F138" s="47" t="s">
        <v>386</v>
      </c>
      <c r="G138" s="48">
        <v>2580</v>
      </c>
      <c r="H138" s="48">
        <v>1</v>
      </c>
      <c r="I138" s="49">
        <f t="shared" si="12"/>
        <v>2580</v>
      </c>
      <c r="J138" s="47" t="s">
        <v>201</v>
      </c>
      <c r="U138" s="53"/>
    </row>
    <row r="139" spans="1:21" x14ac:dyDescent="0.3">
      <c r="A139" s="52">
        <v>46077</v>
      </c>
      <c r="B139" s="47" t="s">
        <v>377</v>
      </c>
      <c r="C139" s="9" t="s">
        <v>13</v>
      </c>
      <c r="D139" s="9" t="s">
        <v>291</v>
      </c>
      <c r="E139" s="61"/>
      <c r="F139" s="47" t="s">
        <v>387</v>
      </c>
      <c r="G139" s="48">
        <v>6190</v>
      </c>
      <c r="H139" s="48">
        <v>1</v>
      </c>
      <c r="I139" s="49">
        <f t="shared" si="12"/>
        <v>6190</v>
      </c>
      <c r="J139" s="47" t="s">
        <v>201</v>
      </c>
      <c r="U139" s="53"/>
    </row>
    <row r="140" spans="1:21" x14ac:dyDescent="0.3">
      <c r="A140" s="52">
        <v>46077</v>
      </c>
      <c r="B140" s="47" t="s">
        <v>377</v>
      </c>
      <c r="C140" s="9" t="s">
        <v>13</v>
      </c>
      <c r="D140" s="9" t="s">
        <v>291</v>
      </c>
      <c r="E140" s="61"/>
      <c r="F140" s="47" t="s">
        <v>388</v>
      </c>
      <c r="G140" s="48">
        <v>0</v>
      </c>
      <c r="H140" s="48">
        <v>1</v>
      </c>
      <c r="I140" s="49">
        <f t="shared" si="12"/>
        <v>0</v>
      </c>
      <c r="J140" s="47" t="s">
        <v>201</v>
      </c>
      <c r="U140" s="53"/>
    </row>
    <row r="141" spans="1:21" x14ac:dyDescent="0.3">
      <c r="A141" s="52">
        <v>46077</v>
      </c>
      <c r="B141" s="47" t="s">
        <v>377</v>
      </c>
      <c r="C141" s="9" t="s">
        <v>13</v>
      </c>
      <c r="D141" s="9" t="s">
        <v>291</v>
      </c>
      <c r="E141" s="61"/>
      <c r="F141" s="47" t="s">
        <v>389</v>
      </c>
      <c r="G141" s="48">
        <v>0</v>
      </c>
      <c r="H141" s="48">
        <v>1</v>
      </c>
      <c r="I141" s="49">
        <f t="shared" si="12"/>
        <v>0</v>
      </c>
      <c r="J141" s="47" t="s">
        <v>201</v>
      </c>
      <c r="U141" s="53"/>
    </row>
    <row r="142" spans="1:21" x14ac:dyDescent="0.3">
      <c r="A142" s="52">
        <v>46077</v>
      </c>
      <c r="B142" s="47" t="s">
        <v>377</v>
      </c>
      <c r="C142" s="9" t="s">
        <v>13</v>
      </c>
      <c r="D142" s="9" t="s">
        <v>291</v>
      </c>
      <c r="E142" s="61"/>
      <c r="F142" s="47" t="s">
        <v>390</v>
      </c>
      <c r="G142" s="48">
        <v>850</v>
      </c>
      <c r="H142" s="48">
        <v>1</v>
      </c>
      <c r="I142" s="49">
        <f t="shared" si="12"/>
        <v>850</v>
      </c>
      <c r="J142" s="47" t="s">
        <v>201</v>
      </c>
      <c r="U142" s="53"/>
    </row>
    <row r="143" spans="1:21" x14ac:dyDescent="0.3">
      <c r="A143" s="52">
        <v>46077</v>
      </c>
      <c r="B143" s="47" t="s">
        <v>377</v>
      </c>
      <c r="C143" s="9" t="s">
        <v>13</v>
      </c>
      <c r="D143" s="9" t="s">
        <v>291</v>
      </c>
      <c r="E143" s="61"/>
      <c r="F143" s="3" t="s">
        <v>391</v>
      </c>
      <c r="G143" s="48">
        <v>-14880</v>
      </c>
      <c r="H143" s="48">
        <v>1</v>
      </c>
      <c r="I143" s="49">
        <f t="shared" si="12"/>
        <v>-14880</v>
      </c>
      <c r="J143" s="47" t="s">
        <v>201</v>
      </c>
      <c r="U143" s="53"/>
    </row>
    <row r="144" spans="1:21" x14ac:dyDescent="0.3">
      <c r="A144" s="52">
        <v>46077</v>
      </c>
      <c r="B144" s="47" t="s">
        <v>292</v>
      </c>
      <c r="C144" s="9" t="s">
        <v>219</v>
      </c>
      <c r="D144" s="9" t="s">
        <v>203</v>
      </c>
      <c r="E144" s="49">
        <f t="shared" si="11"/>
        <v>1900</v>
      </c>
      <c r="F144" s="47" t="s">
        <v>352</v>
      </c>
      <c r="G144" s="48">
        <v>1900</v>
      </c>
      <c r="H144" s="48">
        <v>1</v>
      </c>
      <c r="I144" s="49">
        <f t="shared" si="12"/>
        <v>1900</v>
      </c>
      <c r="J144" s="47" t="s">
        <v>213</v>
      </c>
      <c r="K144" s="47">
        <v>0</v>
      </c>
      <c r="U144" s="53"/>
    </row>
    <row r="145" spans="1:21" x14ac:dyDescent="0.3">
      <c r="A145" s="52">
        <v>46077</v>
      </c>
      <c r="B145" s="47" t="s">
        <v>214</v>
      </c>
      <c r="C145" s="9" t="s">
        <v>215</v>
      </c>
      <c r="D145" s="9" t="s">
        <v>203</v>
      </c>
      <c r="E145" s="49">
        <f t="shared" si="11"/>
        <v>7800</v>
      </c>
      <c r="F145" s="47" t="s">
        <v>353</v>
      </c>
      <c r="G145" s="48">
        <v>7800</v>
      </c>
      <c r="H145" s="48">
        <v>1</v>
      </c>
      <c r="I145" s="49">
        <f t="shared" si="12"/>
        <v>7800</v>
      </c>
      <c r="J145" s="47" t="s">
        <v>210</v>
      </c>
      <c r="K145" s="47">
        <v>0</v>
      </c>
      <c r="N145" s="46"/>
      <c r="U145" s="53"/>
    </row>
    <row r="146" spans="1:21" x14ac:dyDescent="0.3">
      <c r="A146" s="52">
        <v>46077</v>
      </c>
      <c r="B146" s="47" t="s">
        <v>228</v>
      </c>
      <c r="C146" s="9" t="s">
        <v>215</v>
      </c>
      <c r="D146" s="9" t="s">
        <v>230</v>
      </c>
      <c r="E146" s="49">
        <f t="shared" si="11"/>
        <v>3400</v>
      </c>
      <c r="F146" s="47" t="s">
        <v>330</v>
      </c>
      <c r="G146" s="48">
        <v>3400</v>
      </c>
      <c r="H146" s="48">
        <v>1</v>
      </c>
      <c r="I146" s="49">
        <f t="shared" si="12"/>
        <v>3400</v>
      </c>
      <c r="J146" s="47" t="s">
        <v>217</v>
      </c>
      <c r="K146" s="47">
        <v>0</v>
      </c>
      <c r="U146" s="53"/>
    </row>
    <row r="147" spans="1:21" x14ac:dyDescent="0.3">
      <c r="A147" s="52">
        <v>46077</v>
      </c>
      <c r="B147" s="47" t="s">
        <v>293</v>
      </c>
      <c r="C147" s="9" t="s">
        <v>219</v>
      </c>
      <c r="D147" s="9" t="s">
        <v>334</v>
      </c>
      <c r="E147" s="49">
        <f>SUM(I147:I148)</f>
        <v>18000</v>
      </c>
      <c r="F147" s="47" t="s">
        <v>354</v>
      </c>
      <c r="G147" s="48">
        <v>15000</v>
      </c>
      <c r="H147" s="48">
        <v>1</v>
      </c>
      <c r="I147" s="49">
        <f t="shared" si="12"/>
        <v>15000</v>
      </c>
      <c r="J147" s="47" t="s">
        <v>213</v>
      </c>
      <c r="K147" s="47">
        <v>0</v>
      </c>
      <c r="U147" s="53"/>
    </row>
    <row r="148" spans="1:21" x14ac:dyDescent="0.3">
      <c r="A148" s="52">
        <v>46077</v>
      </c>
      <c r="B148" s="47" t="s">
        <v>293</v>
      </c>
      <c r="C148" s="9" t="s">
        <v>14</v>
      </c>
      <c r="D148" s="9" t="s">
        <v>162</v>
      </c>
      <c r="G148" s="48">
        <f>18000-G147</f>
        <v>3000</v>
      </c>
      <c r="H148" s="48">
        <v>1</v>
      </c>
      <c r="I148" s="49">
        <f t="shared" ref="I148" si="13">G148*H148</f>
        <v>3000</v>
      </c>
      <c r="J148" s="47" t="s">
        <v>146</v>
      </c>
      <c r="K148" s="47">
        <v>0</v>
      </c>
      <c r="U148" s="53"/>
    </row>
    <row r="149" spans="1:21" x14ac:dyDescent="0.3">
      <c r="A149" s="52">
        <v>46077</v>
      </c>
      <c r="B149" s="47" t="s">
        <v>294</v>
      </c>
      <c r="C149" s="9" t="s">
        <v>215</v>
      </c>
      <c r="D149" s="9" t="s">
        <v>230</v>
      </c>
      <c r="E149" s="49">
        <f t="shared" si="11"/>
        <v>1600</v>
      </c>
      <c r="G149" s="48">
        <v>1600</v>
      </c>
      <c r="H149" s="48">
        <v>1</v>
      </c>
      <c r="I149" s="49">
        <f t="shared" si="12"/>
        <v>1600</v>
      </c>
      <c r="J149" s="47" t="s">
        <v>217</v>
      </c>
      <c r="U149" s="53"/>
    </row>
    <row r="150" spans="1:21" x14ac:dyDescent="0.3">
      <c r="A150" s="52">
        <v>46077</v>
      </c>
      <c r="B150" s="47" t="s">
        <v>226</v>
      </c>
      <c r="C150" s="9" t="s">
        <v>15</v>
      </c>
      <c r="D150" s="9" t="s">
        <v>227</v>
      </c>
      <c r="E150" s="49">
        <f t="shared" si="11"/>
        <v>49800</v>
      </c>
      <c r="F150" s="47" t="s">
        <v>350</v>
      </c>
      <c r="G150" s="48">
        <v>49800</v>
      </c>
      <c r="H150" s="48">
        <v>1</v>
      </c>
      <c r="I150" s="49">
        <f t="shared" si="12"/>
        <v>49800</v>
      </c>
      <c r="J150" s="47" t="s">
        <v>217</v>
      </c>
      <c r="K150" s="47">
        <v>0</v>
      </c>
      <c r="U150" s="53"/>
    </row>
    <row r="151" spans="1:21" x14ac:dyDescent="0.3">
      <c r="A151" s="52">
        <v>46078</v>
      </c>
      <c r="B151" s="47" t="s">
        <v>292</v>
      </c>
      <c r="C151" s="9" t="s">
        <v>219</v>
      </c>
      <c r="D151" s="9" t="s">
        <v>203</v>
      </c>
      <c r="E151" s="49">
        <f t="shared" si="11"/>
        <v>1900</v>
      </c>
      <c r="F151" s="47" t="s">
        <v>352</v>
      </c>
      <c r="G151" s="48">
        <v>1900</v>
      </c>
      <c r="H151" s="48">
        <v>1</v>
      </c>
      <c r="I151" s="49">
        <f t="shared" si="12"/>
        <v>1900</v>
      </c>
      <c r="J151" s="47" t="s">
        <v>213</v>
      </c>
      <c r="K151" s="47">
        <v>0</v>
      </c>
      <c r="U151" s="53"/>
    </row>
    <row r="152" spans="1:21" x14ac:dyDescent="0.3">
      <c r="A152" s="52">
        <v>46078</v>
      </c>
      <c r="B152" s="47" t="s">
        <v>214</v>
      </c>
      <c r="C152" s="9" t="s">
        <v>215</v>
      </c>
      <c r="D152" s="9" t="s">
        <v>203</v>
      </c>
      <c r="E152" s="49">
        <f t="shared" si="11"/>
        <v>7400</v>
      </c>
      <c r="F152" s="47" t="s">
        <v>349</v>
      </c>
      <c r="G152" s="48">
        <v>7400</v>
      </c>
      <c r="H152" s="48">
        <v>1</v>
      </c>
      <c r="I152" s="49">
        <f t="shared" si="12"/>
        <v>7400</v>
      </c>
      <c r="J152" s="47" t="s">
        <v>217</v>
      </c>
      <c r="K152" s="47">
        <v>0</v>
      </c>
      <c r="U152" s="53"/>
    </row>
    <row r="153" spans="1:21" x14ac:dyDescent="0.3">
      <c r="A153" s="52">
        <v>46078</v>
      </c>
      <c r="B153" s="47" t="s">
        <v>295</v>
      </c>
      <c r="C153" s="9" t="s">
        <v>215</v>
      </c>
      <c r="D153" s="9" t="s">
        <v>230</v>
      </c>
      <c r="E153" s="49">
        <f t="shared" si="11"/>
        <v>2500</v>
      </c>
      <c r="G153" s="48">
        <v>2500</v>
      </c>
      <c r="H153" s="48">
        <v>1</v>
      </c>
      <c r="I153" s="49">
        <f t="shared" si="12"/>
        <v>2500</v>
      </c>
      <c r="J153" s="47" t="s">
        <v>210</v>
      </c>
      <c r="U153" s="53"/>
    </row>
    <row r="154" spans="1:21" x14ac:dyDescent="0.3">
      <c r="A154" s="52">
        <v>46078</v>
      </c>
      <c r="B154" s="47" t="s">
        <v>296</v>
      </c>
      <c r="C154" s="9" t="s">
        <v>219</v>
      </c>
      <c r="D154" s="9" t="s">
        <v>297</v>
      </c>
      <c r="E154" s="49">
        <f t="shared" si="11"/>
        <v>1900</v>
      </c>
      <c r="G154" s="48">
        <v>1900</v>
      </c>
      <c r="H154" s="48">
        <v>1</v>
      </c>
      <c r="I154" s="49">
        <f t="shared" si="12"/>
        <v>1900</v>
      </c>
      <c r="J154" s="47" t="s">
        <v>210</v>
      </c>
      <c r="U154" s="53"/>
    </row>
    <row r="155" spans="1:21" x14ac:dyDescent="0.3">
      <c r="A155" s="52">
        <v>46078</v>
      </c>
      <c r="B155" s="47" t="s">
        <v>241</v>
      </c>
      <c r="C155" s="9" t="s">
        <v>15</v>
      </c>
      <c r="D155" s="9" t="s">
        <v>227</v>
      </c>
      <c r="E155" s="49">
        <f t="shared" si="11"/>
        <v>5100</v>
      </c>
      <c r="F155" s="47" t="s">
        <v>348</v>
      </c>
      <c r="G155" s="48">
        <v>5100</v>
      </c>
      <c r="H155" s="48">
        <v>1</v>
      </c>
      <c r="I155" s="49">
        <f t="shared" si="12"/>
        <v>5100</v>
      </c>
      <c r="J155" s="47" t="s">
        <v>242</v>
      </c>
      <c r="K155" s="47">
        <v>0</v>
      </c>
      <c r="U155" s="53"/>
    </row>
    <row r="156" spans="1:21" x14ac:dyDescent="0.3">
      <c r="A156" s="52">
        <v>46079</v>
      </c>
      <c r="B156" s="47" t="s">
        <v>292</v>
      </c>
      <c r="C156" s="9" t="s">
        <v>219</v>
      </c>
      <c r="D156" s="9" t="s">
        <v>203</v>
      </c>
      <c r="E156" s="49">
        <f t="shared" si="11"/>
        <v>1900</v>
      </c>
      <c r="F156" s="47" t="s">
        <v>352</v>
      </c>
      <c r="G156" s="48">
        <v>1900</v>
      </c>
      <c r="H156" s="48">
        <v>1</v>
      </c>
      <c r="I156" s="49">
        <f t="shared" si="12"/>
        <v>1900</v>
      </c>
      <c r="J156" s="47" t="s">
        <v>213</v>
      </c>
      <c r="K156" s="47">
        <v>0</v>
      </c>
      <c r="U156" s="53"/>
    </row>
    <row r="157" spans="1:21" x14ac:dyDescent="0.3">
      <c r="A157" s="52">
        <v>46079</v>
      </c>
      <c r="B157" s="47" t="s">
        <v>214</v>
      </c>
      <c r="C157" s="9" t="s">
        <v>215</v>
      </c>
      <c r="D157" s="9" t="s">
        <v>203</v>
      </c>
      <c r="E157" s="49">
        <f t="shared" si="11"/>
        <v>6900</v>
      </c>
      <c r="F157" s="47" t="s">
        <v>351</v>
      </c>
      <c r="G157" s="48">
        <v>6900</v>
      </c>
      <c r="H157" s="48">
        <v>1</v>
      </c>
      <c r="I157" s="49">
        <f t="shared" si="12"/>
        <v>6900</v>
      </c>
      <c r="J157" s="47" t="s">
        <v>217</v>
      </c>
      <c r="K157" s="47">
        <v>0</v>
      </c>
      <c r="U157" s="53"/>
    </row>
    <row r="158" spans="1:21" x14ac:dyDescent="0.3">
      <c r="A158" s="52">
        <v>46079</v>
      </c>
      <c r="B158" s="47" t="s">
        <v>228</v>
      </c>
      <c r="C158" s="9" t="s">
        <v>215</v>
      </c>
      <c r="D158" s="9" t="s">
        <v>230</v>
      </c>
      <c r="E158" s="49">
        <f t="shared" si="11"/>
        <v>3400</v>
      </c>
      <c r="F158" s="47" t="s">
        <v>330</v>
      </c>
      <c r="G158" s="48">
        <v>3400</v>
      </c>
      <c r="H158" s="48">
        <v>1</v>
      </c>
      <c r="I158" s="49">
        <f t="shared" si="12"/>
        <v>3400</v>
      </c>
      <c r="J158" s="47" t="s">
        <v>217</v>
      </c>
      <c r="K158" s="47">
        <v>0</v>
      </c>
      <c r="U158" s="53"/>
    </row>
    <row r="159" spans="1:21" x14ac:dyDescent="0.3">
      <c r="A159" s="52">
        <v>46079</v>
      </c>
      <c r="B159" s="47" t="s">
        <v>298</v>
      </c>
      <c r="C159" s="9" t="s">
        <v>219</v>
      </c>
      <c r="D159" s="9" t="s">
        <v>334</v>
      </c>
      <c r="E159" s="49">
        <f>SUM(I159:I160)</f>
        <v>15500</v>
      </c>
      <c r="F159" s="47" t="s">
        <v>411</v>
      </c>
      <c r="G159" s="48">
        <v>15000</v>
      </c>
      <c r="H159" s="48">
        <v>1</v>
      </c>
      <c r="I159" s="49">
        <f t="shared" si="12"/>
        <v>15000</v>
      </c>
      <c r="J159" s="47" t="s">
        <v>213</v>
      </c>
      <c r="U159" s="53"/>
    </row>
    <row r="160" spans="1:21" x14ac:dyDescent="0.3">
      <c r="A160" s="52">
        <v>46079</v>
      </c>
      <c r="B160" s="47" t="s">
        <v>298</v>
      </c>
      <c r="C160" s="9" t="s">
        <v>14</v>
      </c>
      <c r="D160" s="9" t="s">
        <v>162</v>
      </c>
      <c r="G160" s="48">
        <f>15500-G159</f>
        <v>500</v>
      </c>
      <c r="H160" s="48">
        <v>1</v>
      </c>
      <c r="I160" s="49">
        <f t="shared" ref="I160" si="14">G160*H160</f>
        <v>500</v>
      </c>
      <c r="J160" s="47" t="s">
        <v>146</v>
      </c>
      <c r="U160" s="53"/>
    </row>
    <row r="161" spans="1:21" x14ac:dyDescent="0.3">
      <c r="A161" s="52">
        <v>46079</v>
      </c>
      <c r="B161" s="47" t="s">
        <v>222</v>
      </c>
      <c r="C161" s="9" t="s">
        <v>215</v>
      </c>
      <c r="D161" s="9" t="s">
        <v>223</v>
      </c>
      <c r="E161" s="49">
        <f t="shared" si="11"/>
        <v>36200</v>
      </c>
      <c r="G161" s="48">
        <v>36200</v>
      </c>
      <c r="H161" s="48">
        <v>1</v>
      </c>
      <c r="I161" s="49">
        <f t="shared" si="12"/>
        <v>36200</v>
      </c>
      <c r="J161" s="47" t="s">
        <v>217</v>
      </c>
      <c r="K161" s="47">
        <v>0</v>
      </c>
      <c r="U161" s="53"/>
    </row>
    <row r="162" spans="1:21" x14ac:dyDescent="0.3">
      <c r="A162" s="52">
        <v>46079</v>
      </c>
      <c r="B162" s="47" t="s">
        <v>224</v>
      </c>
      <c r="C162" s="9" t="s">
        <v>215</v>
      </c>
      <c r="D162" s="9" t="s">
        <v>332</v>
      </c>
      <c r="E162" s="49">
        <f t="shared" si="11"/>
        <v>3900</v>
      </c>
      <c r="F162" s="47" t="s">
        <v>333</v>
      </c>
      <c r="G162" s="48">
        <v>3900</v>
      </c>
      <c r="H162" s="48">
        <v>1</v>
      </c>
      <c r="I162" s="49">
        <f t="shared" si="12"/>
        <v>3900</v>
      </c>
      <c r="J162" s="47" t="s">
        <v>217</v>
      </c>
      <c r="K162" s="47">
        <v>0</v>
      </c>
      <c r="U162" s="53"/>
    </row>
    <row r="163" spans="1:21" x14ac:dyDescent="0.3">
      <c r="A163" s="52">
        <v>46079</v>
      </c>
      <c r="B163" s="47" t="s">
        <v>299</v>
      </c>
      <c r="C163" s="9" t="s">
        <v>215</v>
      </c>
      <c r="D163" s="9" t="s">
        <v>204</v>
      </c>
      <c r="E163" s="49">
        <f t="shared" si="11"/>
        <v>10000</v>
      </c>
      <c r="G163" s="48">
        <v>10000</v>
      </c>
      <c r="H163" s="48">
        <v>1</v>
      </c>
      <c r="I163" s="49">
        <f t="shared" si="12"/>
        <v>10000</v>
      </c>
      <c r="J163" s="47" t="s">
        <v>217</v>
      </c>
      <c r="U163" s="53"/>
    </row>
    <row r="164" spans="1:21" x14ac:dyDescent="0.3">
      <c r="A164" s="52">
        <v>46079</v>
      </c>
      <c r="B164" s="47" t="s">
        <v>194</v>
      </c>
      <c r="C164" s="9" t="s">
        <v>307</v>
      </c>
      <c r="D164" s="9" t="s">
        <v>195</v>
      </c>
      <c r="E164" s="49">
        <f t="shared" si="11"/>
        <v>26320</v>
      </c>
      <c r="F164" s="47" t="s">
        <v>309</v>
      </c>
      <c r="G164" s="48">
        <v>26320</v>
      </c>
      <c r="H164" s="48">
        <v>1</v>
      </c>
      <c r="I164" s="49">
        <f t="shared" si="12"/>
        <v>26320</v>
      </c>
      <c r="J164" s="47" t="s">
        <v>308</v>
      </c>
      <c r="U164" s="53"/>
    </row>
    <row r="165" spans="1:21" x14ac:dyDescent="0.3">
      <c r="A165" s="52">
        <v>46080</v>
      </c>
      <c r="B165" s="47" t="s">
        <v>262</v>
      </c>
      <c r="C165" s="9" t="s">
        <v>215</v>
      </c>
      <c r="D165" s="9" t="s">
        <v>202</v>
      </c>
      <c r="E165" s="49">
        <f t="shared" si="11"/>
        <v>19900</v>
      </c>
      <c r="G165" s="48">
        <v>19900</v>
      </c>
      <c r="H165" s="48">
        <v>1</v>
      </c>
      <c r="I165" s="49">
        <f t="shared" si="12"/>
        <v>19900</v>
      </c>
      <c r="J165" s="47" t="s">
        <v>217</v>
      </c>
      <c r="U165" s="53"/>
    </row>
    <row r="166" spans="1:21" x14ac:dyDescent="0.3">
      <c r="A166" s="52">
        <v>46080</v>
      </c>
      <c r="B166" s="47" t="s">
        <v>300</v>
      </c>
      <c r="C166" s="9" t="s">
        <v>215</v>
      </c>
      <c r="D166" s="9" t="s">
        <v>301</v>
      </c>
      <c r="E166" s="49">
        <f t="shared" si="11"/>
        <v>-5741025</v>
      </c>
      <c r="G166" s="48">
        <v>-5741025</v>
      </c>
      <c r="H166" s="48">
        <v>1</v>
      </c>
      <c r="I166" s="49">
        <f t="shared" si="12"/>
        <v>-5741025</v>
      </c>
      <c r="J166" s="47" t="s">
        <v>210</v>
      </c>
      <c r="U166" s="53"/>
    </row>
    <row r="167" spans="1:21" x14ac:dyDescent="0.3">
      <c r="A167" s="52">
        <v>46080</v>
      </c>
      <c r="B167" s="47" t="s">
        <v>259</v>
      </c>
      <c r="C167" s="9" t="s">
        <v>219</v>
      </c>
      <c r="D167" s="9" t="s">
        <v>230</v>
      </c>
      <c r="E167" s="49">
        <f t="shared" si="11"/>
        <v>4250</v>
      </c>
      <c r="G167" s="48">
        <v>4250</v>
      </c>
      <c r="H167" s="48">
        <v>1</v>
      </c>
      <c r="I167" s="49">
        <f t="shared" si="12"/>
        <v>4250</v>
      </c>
      <c r="J167" s="47" t="s">
        <v>213</v>
      </c>
      <c r="U167" s="53"/>
    </row>
    <row r="168" spans="1:21" x14ac:dyDescent="0.3">
      <c r="A168" s="52">
        <v>46080</v>
      </c>
      <c r="B168" s="47" t="s">
        <v>222</v>
      </c>
      <c r="C168" s="9" t="s">
        <v>215</v>
      </c>
      <c r="D168" s="9" t="s">
        <v>223</v>
      </c>
      <c r="E168" s="49">
        <f t="shared" si="11"/>
        <v>14600</v>
      </c>
      <c r="G168" s="48">
        <v>14600</v>
      </c>
      <c r="H168" s="48">
        <v>1</v>
      </c>
      <c r="I168" s="49">
        <f t="shared" si="12"/>
        <v>14600</v>
      </c>
      <c r="J168" s="47" t="s">
        <v>217</v>
      </c>
      <c r="U168" s="53"/>
    </row>
    <row r="169" spans="1:21" x14ac:dyDescent="0.3">
      <c r="A169" s="52">
        <v>46080</v>
      </c>
      <c r="B169" s="47" t="s">
        <v>224</v>
      </c>
      <c r="C169" s="9" t="s">
        <v>215</v>
      </c>
      <c r="D169" s="9" t="s">
        <v>332</v>
      </c>
      <c r="E169" s="49">
        <f t="shared" si="11"/>
        <v>4900</v>
      </c>
      <c r="G169" s="48">
        <v>4900</v>
      </c>
      <c r="H169" s="48">
        <v>1</v>
      </c>
      <c r="I169" s="49">
        <f t="shared" si="12"/>
        <v>4900</v>
      </c>
      <c r="J169" s="47" t="s">
        <v>217</v>
      </c>
      <c r="U169" s="53"/>
    </row>
    <row r="170" spans="1:21" x14ac:dyDescent="0.3">
      <c r="A170" s="52">
        <v>46080</v>
      </c>
      <c r="B170" s="47" t="s">
        <v>226</v>
      </c>
      <c r="C170" s="9" t="s">
        <v>208</v>
      </c>
      <c r="D170" s="9" t="s">
        <v>227</v>
      </c>
      <c r="E170" s="49">
        <f t="shared" si="11"/>
        <v>49400</v>
      </c>
      <c r="G170" s="48">
        <v>49400</v>
      </c>
      <c r="H170" s="48">
        <v>1</v>
      </c>
      <c r="I170" s="49">
        <f t="shared" si="12"/>
        <v>49400</v>
      </c>
      <c r="J170" s="47" t="s">
        <v>217</v>
      </c>
    </row>
    <row r="171" spans="1:21" x14ac:dyDescent="0.3">
      <c r="A171" s="52">
        <v>46080</v>
      </c>
      <c r="B171" s="47" t="s">
        <v>302</v>
      </c>
      <c r="C171" s="9" t="s">
        <v>215</v>
      </c>
      <c r="D171" s="9" t="s">
        <v>209</v>
      </c>
      <c r="E171" s="49">
        <f t="shared" si="11"/>
        <v>15000</v>
      </c>
      <c r="F171" s="47">
        <v>25500</v>
      </c>
      <c r="G171" s="48">
        <v>15000</v>
      </c>
      <c r="H171" s="48">
        <v>1</v>
      </c>
      <c r="I171" s="49">
        <f t="shared" si="12"/>
        <v>15000</v>
      </c>
      <c r="J171" s="47" t="s">
        <v>210</v>
      </c>
    </row>
    <row r="172" spans="1:21" x14ac:dyDescent="0.3">
      <c r="A172" s="52">
        <v>46080</v>
      </c>
      <c r="B172" s="47" t="s">
        <v>241</v>
      </c>
      <c r="C172" s="9" t="s">
        <v>208</v>
      </c>
      <c r="D172" s="9" t="s">
        <v>227</v>
      </c>
      <c r="E172" s="49">
        <f t="shared" si="11"/>
        <v>8300</v>
      </c>
      <c r="G172" s="48">
        <v>8300</v>
      </c>
      <c r="H172" s="48">
        <v>1</v>
      </c>
      <c r="I172" s="49">
        <f t="shared" si="12"/>
        <v>8300</v>
      </c>
      <c r="J172" s="47" t="s">
        <v>242</v>
      </c>
    </row>
    <row r="173" spans="1:21" x14ac:dyDescent="0.3">
      <c r="A173" s="52">
        <v>46080</v>
      </c>
      <c r="B173" s="47" t="s">
        <v>310</v>
      </c>
      <c r="C173" s="9" t="s">
        <v>190</v>
      </c>
      <c r="D173" s="9" t="s">
        <v>311</v>
      </c>
      <c r="E173" s="49">
        <f t="shared" si="11"/>
        <v>215020</v>
      </c>
      <c r="F173" s="47" t="s">
        <v>312</v>
      </c>
      <c r="G173" s="48">
        <v>215020</v>
      </c>
      <c r="H173" s="48">
        <v>1</v>
      </c>
      <c r="I173" s="49">
        <f t="shared" si="12"/>
        <v>215020</v>
      </c>
      <c r="J173" s="47" t="s">
        <v>148</v>
      </c>
    </row>
    <row r="174" spans="1:21" x14ac:dyDescent="0.3">
      <c r="A174" s="52">
        <v>46081</v>
      </c>
      <c r="B174" s="47" t="s">
        <v>303</v>
      </c>
      <c r="C174" s="9" t="s">
        <v>208</v>
      </c>
      <c r="D174" s="9" t="s">
        <v>209</v>
      </c>
      <c r="E174" s="49">
        <f t="shared" si="11"/>
        <v>30000</v>
      </c>
      <c r="G174" s="48">
        <v>30000</v>
      </c>
      <c r="H174" s="48">
        <v>1</v>
      </c>
      <c r="I174" s="49">
        <f t="shared" si="12"/>
        <v>30000</v>
      </c>
      <c r="J174" s="47" t="s">
        <v>210</v>
      </c>
    </row>
    <row r="175" spans="1:21" x14ac:dyDescent="0.3">
      <c r="A175" s="52">
        <v>46081</v>
      </c>
      <c r="B175" s="47" t="s">
        <v>240</v>
      </c>
      <c r="C175" s="9" t="s">
        <v>208</v>
      </c>
      <c r="D175" s="9" t="s">
        <v>209</v>
      </c>
      <c r="E175" s="49">
        <f t="shared" si="11"/>
        <v>28000</v>
      </c>
      <c r="G175" s="48">
        <v>28000</v>
      </c>
      <c r="H175" s="48">
        <v>1</v>
      </c>
      <c r="I175" s="49">
        <f t="shared" si="12"/>
        <v>28000</v>
      </c>
      <c r="J175" s="47" t="s">
        <v>210</v>
      </c>
    </row>
    <row r="176" spans="1:21" x14ac:dyDescent="0.3">
      <c r="A176" s="52">
        <v>46081</v>
      </c>
      <c r="B176" s="47" t="s">
        <v>220</v>
      </c>
      <c r="C176" s="9" t="s">
        <v>208</v>
      </c>
      <c r="D176" s="9" t="s">
        <v>209</v>
      </c>
      <c r="E176" s="49">
        <f t="shared" si="11"/>
        <v>14300</v>
      </c>
      <c r="G176" s="48">
        <v>14300</v>
      </c>
      <c r="H176" s="48">
        <v>1</v>
      </c>
      <c r="I176" s="49">
        <f t="shared" si="12"/>
        <v>14300</v>
      </c>
      <c r="J176" s="47" t="s">
        <v>210</v>
      </c>
    </row>
    <row r="177" spans="1:11" x14ac:dyDescent="0.3">
      <c r="A177" s="52">
        <v>46081</v>
      </c>
      <c r="B177" s="47" t="s">
        <v>304</v>
      </c>
      <c r="C177" s="9" t="s">
        <v>208</v>
      </c>
      <c r="D177" s="9" t="s">
        <v>209</v>
      </c>
      <c r="E177" s="49">
        <f t="shared" si="11"/>
        <v>25900</v>
      </c>
      <c r="G177" s="48">
        <v>25900</v>
      </c>
      <c r="H177" s="48">
        <v>1</v>
      </c>
      <c r="I177" s="49">
        <f t="shared" si="12"/>
        <v>25900</v>
      </c>
      <c r="J177" s="47" t="s">
        <v>210</v>
      </c>
    </row>
    <row r="178" spans="1:11" x14ac:dyDescent="0.3">
      <c r="A178" s="52">
        <v>46081</v>
      </c>
      <c r="B178" s="47" t="s">
        <v>305</v>
      </c>
      <c r="C178" s="9" t="s">
        <v>208</v>
      </c>
      <c r="D178" s="9" t="s">
        <v>305</v>
      </c>
      <c r="E178" s="49">
        <f t="shared" si="11"/>
        <v>219200</v>
      </c>
      <c r="G178" s="48">
        <v>219200</v>
      </c>
      <c r="H178" s="48">
        <v>1</v>
      </c>
      <c r="I178" s="49">
        <f t="shared" si="12"/>
        <v>219200</v>
      </c>
      <c r="J178" s="47" t="s">
        <v>210</v>
      </c>
    </row>
    <row r="179" spans="1:11" x14ac:dyDescent="0.3">
      <c r="A179" s="52"/>
      <c r="E179" s="49">
        <f t="shared" si="11"/>
        <v>0</v>
      </c>
      <c r="H179" s="48">
        <v>1</v>
      </c>
      <c r="I179" s="49">
        <f t="shared" si="12"/>
        <v>0</v>
      </c>
    </row>
    <row r="180" spans="1:11" x14ac:dyDescent="0.3">
      <c r="A180" s="52"/>
      <c r="E180" s="49">
        <f t="shared" si="11"/>
        <v>0</v>
      </c>
      <c r="H180" s="48">
        <v>1</v>
      </c>
      <c r="I180" s="49">
        <f t="shared" si="12"/>
        <v>0</v>
      </c>
    </row>
    <row r="181" spans="1:11" x14ac:dyDescent="0.3">
      <c r="A181" s="52">
        <v>46076</v>
      </c>
      <c r="B181" s="47" t="s">
        <v>214</v>
      </c>
      <c r="C181" s="9" t="s">
        <v>15</v>
      </c>
      <c r="D181" s="9" t="s">
        <v>203</v>
      </c>
      <c r="E181" s="49">
        <f t="shared" ref="E181" si="15">SUM(I181:I181)</f>
        <v>0</v>
      </c>
      <c r="F181" s="47" t="s">
        <v>336</v>
      </c>
      <c r="H181" s="48">
        <v>1</v>
      </c>
      <c r="I181" s="49">
        <f t="shared" ref="I181" si="16">G181*H181</f>
        <v>0</v>
      </c>
      <c r="J181" s="47" t="s">
        <v>140</v>
      </c>
      <c r="K181" s="47">
        <v>0</v>
      </c>
    </row>
    <row r="182" spans="1:11" x14ac:dyDescent="0.3">
      <c r="A182" s="52"/>
      <c r="E182" s="49">
        <f t="shared" si="11"/>
        <v>0</v>
      </c>
      <c r="F182" s="3"/>
      <c r="H182" s="48">
        <v>1</v>
      </c>
      <c r="I182" s="49">
        <f t="shared" si="12"/>
        <v>0</v>
      </c>
    </row>
    <row r="183" spans="1:11" x14ac:dyDescent="0.3">
      <c r="A183" s="52"/>
      <c r="E183" s="49">
        <f t="shared" si="11"/>
        <v>0</v>
      </c>
      <c r="H183" s="48">
        <v>1</v>
      </c>
      <c r="I183" s="49">
        <f t="shared" si="12"/>
        <v>0</v>
      </c>
    </row>
    <row r="184" spans="1:11" x14ac:dyDescent="0.3">
      <c r="A184" s="52"/>
      <c r="E184" s="49">
        <f t="shared" si="11"/>
        <v>0</v>
      </c>
      <c r="H184" s="48">
        <v>1</v>
      </c>
      <c r="I184" s="49">
        <f t="shared" si="12"/>
        <v>0</v>
      </c>
    </row>
    <row r="185" spans="1:11" x14ac:dyDescent="0.3">
      <c r="A185" s="52"/>
      <c r="E185" s="49">
        <f t="shared" si="11"/>
        <v>0</v>
      </c>
      <c r="H185" s="48">
        <v>1</v>
      </c>
      <c r="I185" s="49">
        <f t="shared" si="12"/>
        <v>0</v>
      </c>
    </row>
    <row r="186" spans="1:11" x14ac:dyDescent="0.3">
      <c r="A186" s="52"/>
      <c r="E186" s="49">
        <f t="shared" si="11"/>
        <v>0</v>
      </c>
      <c r="H186" s="48">
        <v>1</v>
      </c>
      <c r="I186" s="49">
        <f t="shared" si="12"/>
        <v>0</v>
      </c>
    </row>
    <row r="187" spans="1:11" x14ac:dyDescent="0.3">
      <c r="A187" s="52"/>
      <c r="E187" s="49">
        <f t="shared" si="11"/>
        <v>0</v>
      </c>
      <c r="H187" s="48">
        <v>1</v>
      </c>
      <c r="I187" s="49">
        <f t="shared" si="12"/>
        <v>0</v>
      </c>
    </row>
    <row r="188" spans="1:11" x14ac:dyDescent="0.3">
      <c r="A188" s="52"/>
      <c r="E188" s="49">
        <f t="shared" si="11"/>
        <v>0</v>
      </c>
      <c r="H188" s="48">
        <v>1</v>
      </c>
      <c r="I188" s="49">
        <f t="shared" si="12"/>
        <v>0</v>
      </c>
    </row>
    <row r="189" spans="1:11" x14ac:dyDescent="0.3">
      <c r="A189" s="52"/>
      <c r="E189" s="49">
        <f t="shared" si="11"/>
        <v>0</v>
      </c>
      <c r="H189" s="48">
        <v>1</v>
      </c>
      <c r="I189" s="49">
        <f t="shared" si="12"/>
        <v>0</v>
      </c>
    </row>
    <row r="190" spans="1:11" x14ac:dyDescent="0.3">
      <c r="A190" s="52"/>
      <c r="E190" s="49">
        <f t="shared" si="11"/>
        <v>0</v>
      </c>
      <c r="H190" s="48">
        <v>1</v>
      </c>
      <c r="I190" s="49">
        <f t="shared" si="12"/>
        <v>0</v>
      </c>
    </row>
    <row r="191" spans="1:11" x14ac:dyDescent="0.3">
      <c r="A191" s="52"/>
      <c r="E191" s="49">
        <f t="shared" si="11"/>
        <v>0</v>
      </c>
      <c r="H191" s="48">
        <v>1</v>
      </c>
      <c r="I191" s="49">
        <f t="shared" si="12"/>
        <v>0</v>
      </c>
    </row>
    <row r="192" spans="1:11" x14ac:dyDescent="0.3">
      <c r="A192" s="52"/>
      <c r="E192" s="49">
        <f t="shared" si="11"/>
        <v>0</v>
      </c>
      <c r="F192" s="3"/>
      <c r="H192" s="48">
        <v>1</v>
      </c>
      <c r="I192" s="49">
        <f t="shared" si="12"/>
        <v>0</v>
      </c>
    </row>
    <row r="193" spans="1:9" x14ac:dyDescent="0.3">
      <c r="A193" s="52"/>
      <c r="E193" s="49">
        <f t="shared" si="11"/>
        <v>0</v>
      </c>
      <c r="H193" s="48">
        <v>1</v>
      </c>
      <c r="I193" s="49">
        <f t="shared" si="12"/>
        <v>0</v>
      </c>
    </row>
    <row r="194" spans="1:9" x14ac:dyDescent="0.3">
      <c r="A194" s="52"/>
      <c r="E194" s="49">
        <f t="shared" si="11"/>
        <v>0</v>
      </c>
      <c r="H194" s="48">
        <v>1</v>
      </c>
      <c r="I194" s="49">
        <f t="shared" si="12"/>
        <v>0</v>
      </c>
    </row>
    <row r="195" spans="1:9" x14ac:dyDescent="0.3">
      <c r="A195" s="52"/>
      <c r="E195" s="49">
        <f t="shared" si="11"/>
        <v>0</v>
      </c>
      <c r="H195" s="48">
        <v>1</v>
      </c>
      <c r="I195" s="49">
        <f t="shared" si="12"/>
        <v>0</v>
      </c>
    </row>
    <row r="196" spans="1:9" x14ac:dyDescent="0.3">
      <c r="A196" s="52"/>
      <c r="E196" s="49">
        <f t="shared" si="11"/>
        <v>0</v>
      </c>
      <c r="H196" s="48">
        <v>1</v>
      </c>
      <c r="I196" s="49">
        <f t="shared" si="12"/>
        <v>0</v>
      </c>
    </row>
    <row r="197" spans="1:9" x14ac:dyDescent="0.3">
      <c r="A197" s="52"/>
      <c r="E197" s="49">
        <f t="shared" si="11"/>
        <v>0</v>
      </c>
      <c r="H197" s="48">
        <v>1</v>
      </c>
      <c r="I197" s="49">
        <f t="shared" si="12"/>
        <v>0</v>
      </c>
    </row>
    <row r="198" spans="1:9" x14ac:dyDescent="0.3">
      <c r="A198" s="52"/>
      <c r="E198" s="49">
        <f t="shared" si="11"/>
        <v>0</v>
      </c>
      <c r="H198" s="48">
        <v>1</v>
      </c>
      <c r="I198" s="49">
        <f t="shared" si="12"/>
        <v>0</v>
      </c>
    </row>
    <row r="199" spans="1:9" x14ac:dyDescent="0.3">
      <c r="A199" s="52"/>
      <c r="E199" s="49">
        <f t="shared" si="11"/>
        <v>0</v>
      </c>
      <c r="H199" s="48">
        <v>1</v>
      </c>
      <c r="I199" s="49">
        <f t="shared" si="12"/>
        <v>0</v>
      </c>
    </row>
    <row r="200" spans="1:9" x14ac:dyDescent="0.3">
      <c r="A200" s="52"/>
      <c r="E200" s="49">
        <f t="shared" si="11"/>
        <v>0</v>
      </c>
      <c r="H200" s="48">
        <v>1</v>
      </c>
      <c r="I200" s="49">
        <f t="shared" si="12"/>
        <v>0</v>
      </c>
    </row>
    <row r="201" spans="1:9" x14ac:dyDescent="0.3">
      <c r="A201" s="52"/>
      <c r="E201" s="49">
        <f t="shared" si="11"/>
        <v>0</v>
      </c>
      <c r="H201" s="48">
        <v>1</v>
      </c>
      <c r="I201" s="49">
        <f t="shared" si="12"/>
        <v>0</v>
      </c>
    </row>
    <row r="202" spans="1:9" x14ac:dyDescent="0.3">
      <c r="A202" s="52"/>
      <c r="E202" s="49">
        <f t="shared" si="11"/>
        <v>0</v>
      </c>
      <c r="H202" s="48">
        <v>1</v>
      </c>
      <c r="I202" s="49">
        <f t="shared" si="12"/>
        <v>0</v>
      </c>
    </row>
    <row r="203" spans="1:9" x14ac:dyDescent="0.3">
      <c r="A203" s="52"/>
      <c r="E203" s="49">
        <f t="shared" si="11"/>
        <v>0</v>
      </c>
      <c r="H203" s="48">
        <v>1</v>
      </c>
      <c r="I203" s="49">
        <f t="shared" si="12"/>
        <v>0</v>
      </c>
    </row>
    <row r="204" spans="1:9" x14ac:dyDescent="0.3">
      <c r="A204" s="52"/>
      <c r="E204" s="49">
        <f t="shared" si="11"/>
        <v>0</v>
      </c>
      <c r="H204" s="48">
        <v>1</v>
      </c>
      <c r="I204" s="49">
        <f t="shared" si="12"/>
        <v>0</v>
      </c>
    </row>
    <row r="205" spans="1:9" x14ac:dyDescent="0.3">
      <c r="A205" s="52"/>
      <c r="E205" s="49">
        <f t="shared" si="11"/>
        <v>0</v>
      </c>
      <c r="H205" s="48">
        <v>1</v>
      </c>
      <c r="I205" s="49">
        <f t="shared" si="12"/>
        <v>0</v>
      </c>
    </row>
    <row r="206" spans="1:9" x14ac:dyDescent="0.3">
      <c r="A206" s="52"/>
      <c r="E206" s="49">
        <f t="shared" ref="E206:E269" si="17">SUM(I206:I206)</f>
        <v>0</v>
      </c>
      <c r="H206" s="48">
        <v>1</v>
      </c>
      <c r="I206" s="49">
        <f t="shared" si="12"/>
        <v>0</v>
      </c>
    </row>
    <row r="207" spans="1:9" x14ac:dyDescent="0.3">
      <c r="A207" s="52"/>
      <c r="E207" s="49">
        <f t="shared" si="17"/>
        <v>0</v>
      </c>
      <c r="H207" s="48">
        <v>1</v>
      </c>
      <c r="I207" s="49">
        <f t="shared" ref="I207:I270" si="18">G207*H207</f>
        <v>0</v>
      </c>
    </row>
    <row r="208" spans="1:9" x14ac:dyDescent="0.3">
      <c r="A208" s="52"/>
      <c r="E208" s="49">
        <f t="shared" si="17"/>
        <v>0</v>
      </c>
      <c r="H208" s="48">
        <v>1</v>
      </c>
      <c r="I208" s="49">
        <f t="shared" si="18"/>
        <v>0</v>
      </c>
    </row>
    <row r="209" spans="1:9" x14ac:dyDescent="0.3">
      <c r="A209" s="52"/>
      <c r="E209" s="49">
        <f t="shared" si="17"/>
        <v>0</v>
      </c>
      <c r="H209" s="48">
        <v>1</v>
      </c>
      <c r="I209" s="49">
        <f t="shared" si="18"/>
        <v>0</v>
      </c>
    </row>
    <row r="210" spans="1:9" x14ac:dyDescent="0.3">
      <c r="A210" s="52"/>
      <c r="E210" s="49">
        <f t="shared" si="17"/>
        <v>0</v>
      </c>
      <c r="H210" s="48">
        <v>1</v>
      </c>
      <c r="I210" s="49">
        <f t="shared" si="18"/>
        <v>0</v>
      </c>
    </row>
    <row r="211" spans="1:9" x14ac:dyDescent="0.3">
      <c r="A211" s="52"/>
      <c r="E211" s="49">
        <f t="shared" si="17"/>
        <v>0</v>
      </c>
      <c r="H211" s="48">
        <v>1</v>
      </c>
      <c r="I211" s="49">
        <f t="shared" si="18"/>
        <v>0</v>
      </c>
    </row>
    <row r="212" spans="1:9" x14ac:dyDescent="0.3">
      <c r="A212" s="52"/>
      <c r="E212" s="49">
        <f t="shared" si="17"/>
        <v>0</v>
      </c>
      <c r="H212" s="48">
        <v>1</v>
      </c>
      <c r="I212" s="49">
        <f t="shared" si="18"/>
        <v>0</v>
      </c>
    </row>
    <row r="213" spans="1:9" x14ac:dyDescent="0.3">
      <c r="A213" s="52"/>
      <c r="E213" s="49">
        <f t="shared" si="17"/>
        <v>0</v>
      </c>
      <c r="F213" s="51"/>
      <c r="H213" s="48">
        <v>1</v>
      </c>
      <c r="I213" s="49">
        <f t="shared" si="18"/>
        <v>0</v>
      </c>
    </row>
    <row r="214" spans="1:9" x14ac:dyDescent="0.3">
      <c r="A214" s="52"/>
      <c r="E214" s="49">
        <f t="shared" si="17"/>
        <v>0</v>
      </c>
      <c r="H214" s="48">
        <v>1</v>
      </c>
      <c r="I214" s="49">
        <f t="shared" si="18"/>
        <v>0</v>
      </c>
    </row>
    <row r="215" spans="1:9" x14ac:dyDescent="0.3">
      <c r="A215" s="52"/>
      <c r="E215" s="49">
        <f t="shared" si="17"/>
        <v>0</v>
      </c>
      <c r="H215" s="48">
        <v>1</v>
      </c>
      <c r="I215" s="49">
        <f t="shared" si="18"/>
        <v>0</v>
      </c>
    </row>
    <row r="216" spans="1:9" x14ac:dyDescent="0.3">
      <c r="A216" s="52"/>
      <c r="E216" s="49">
        <f t="shared" si="17"/>
        <v>0</v>
      </c>
      <c r="H216" s="48">
        <v>1</v>
      </c>
      <c r="I216" s="49">
        <f t="shared" si="18"/>
        <v>0</v>
      </c>
    </row>
    <row r="217" spans="1:9" x14ac:dyDescent="0.3">
      <c r="A217" s="52"/>
      <c r="E217" s="49">
        <f t="shared" si="17"/>
        <v>0</v>
      </c>
      <c r="H217" s="48">
        <v>1</v>
      </c>
      <c r="I217" s="49">
        <f t="shared" si="18"/>
        <v>0</v>
      </c>
    </row>
    <row r="218" spans="1:9" x14ac:dyDescent="0.3">
      <c r="A218" s="52"/>
      <c r="E218" s="49">
        <f t="shared" si="17"/>
        <v>0</v>
      </c>
      <c r="H218" s="48">
        <v>1</v>
      </c>
      <c r="I218" s="49">
        <f t="shared" si="18"/>
        <v>0</v>
      </c>
    </row>
    <row r="219" spans="1:9" x14ac:dyDescent="0.3">
      <c r="A219" s="52"/>
      <c r="E219" s="49">
        <f t="shared" si="17"/>
        <v>0</v>
      </c>
      <c r="H219" s="48">
        <v>1</v>
      </c>
      <c r="I219" s="49">
        <f t="shared" si="18"/>
        <v>0</v>
      </c>
    </row>
    <row r="220" spans="1:9" x14ac:dyDescent="0.3">
      <c r="A220" s="52"/>
      <c r="E220" s="49">
        <f t="shared" si="17"/>
        <v>0</v>
      </c>
      <c r="H220" s="48">
        <v>1</v>
      </c>
      <c r="I220" s="49">
        <f t="shared" si="18"/>
        <v>0</v>
      </c>
    </row>
    <row r="221" spans="1:9" x14ac:dyDescent="0.3">
      <c r="A221" s="52"/>
      <c r="E221" s="49">
        <f t="shared" si="17"/>
        <v>0</v>
      </c>
      <c r="H221" s="48">
        <v>1</v>
      </c>
      <c r="I221" s="49">
        <f t="shared" si="18"/>
        <v>0</v>
      </c>
    </row>
    <row r="222" spans="1:9" x14ac:dyDescent="0.3">
      <c r="A222" s="52"/>
      <c r="E222" s="49">
        <f t="shared" si="17"/>
        <v>0</v>
      </c>
      <c r="H222" s="48">
        <v>1</v>
      </c>
      <c r="I222" s="49">
        <f t="shared" si="18"/>
        <v>0</v>
      </c>
    </row>
    <row r="223" spans="1:9" x14ac:dyDescent="0.3">
      <c r="A223" s="52"/>
      <c r="E223" s="49">
        <f t="shared" si="17"/>
        <v>0</v>
      </c>
      <c r="H223" s="48">
        <v>1</v>
      </c>
      <c r="I223" s="49">
        <f t="shared" si="18"/>
        <v>0</v>
      </c>
    </row>
    <row r="224" spans="1:9" x14ac:dyDescent="0.3">
      <c r="A224" s="52"/>
      <c r="E224" s="49">
        <f t="shared" si="17"/>
        <v>0</v>
      </c>
      <c r="H224" s="48">
        <v>1</v>
      </c>
      <c r="I224" s="49">
        <f t="shared" si="18"/>
        <v>0</v>
      </c>
    </row>
    <row r="225" spans="1:9" x14ac:dyDescent="0.3">
      <c r="A225" s="52"/>
      <c r="E225" s="49">
        <f t="shared" si="17"/>
        <v>0</v>
      </c>
      <c r="H225" s="48">
        <v>1</v>
      </c>
      <c r="I225" s="49">
        <f t="shared" si="18"/>
        <v>0</v>
      </c>
    </row>
    <row r="226" spans="1:9" x14ac:dyDescent="0.3">
      <c r="A226" s="52"/>
      <c r="E226" s="49">
        <f t="shared" si="17"/>
        <v>0</v>
      </c>
      <c r="H226" s="48">
        <v>1</v>
      </c>
      <c r="I226" s="49">
        <f t="shared" si="18"/>
        <v>0</v>
      </c>
    </row>
    <row r="227" spans="1:9" x14ac:dyDescent="0.3">
      <c r="A227" s="52"/>
      <c r="E227" s="49">
        <f t="shared" si="17"/>
        <v>0</v>
      </c>
      <c r="H227" s="48">
        <v>1</v>
      </c>
      <c r="I227" s="49">
        <f t="shared" si="18"/>
        <v>0</v>
      </c>
    </row>
    <row r="228" spans="1:9" x14ac:dyDescent="0.3">
      <c r="A228" s="52"/>
      <c r="E228" s="49">
        <f t="shared" si="17"/>
        <v>0</v>
      </c>
      <c r="H228" s="48">
        <v>1</v>
      </c>
      <c r="I228" s="49">
        <f t="shared" si="18"/>
        <v>0</v>
      </c>
    </row>
    <row r="229" spans="1:9" x14ac:dyDescent="0.3">
      <c r="A229" s="52"/>
      <c r="E229" s="49">
        <f t="shared" si="17"/>
        <v>0</v>
      </c>
      <c r="H229" s="48">
        <v>1</v>
      </c>
      <c r="I229" s="49">
        <f t="shared" si="18"/>
        <v>0</v>
      </c>
    </row>
    <row r="230" spans="1:9" x14ac:dyDescent="0.3">
      <c r="A230" s="52"/>
      <c r="E230" s="49">
        <f t="shared" si="17"/>
        <v>0</v>
      </c>
      <c r="H230" s="48">
        <v>1</v>
      </c>
      <c r="I230" s="49">
        <f t="shared" si="18"/>
        <v>0</v>
      </c>
    </row>
    <row r="231" spans="1:9" x14ac:dyDescent="0.3">
      <c r="A231" s="52"/>
      <c r="E231" s="49">
        <f t="shared" si="17"/>
        <v>0</v>
      </c>
      <c r="H231" s="48">
        <v>1</v>
      </c>
      <c r="I231" s="49">
        <f t="shared" si="18"/>
        <v>0</v>
      </c>
    </row>
    <row r="232" spans="1:9" x14ac:dyDescent="0.3">
      <c r="A232" s="52"/>
      <c r="E232" s="49">
        <f t="shared" si="17"/>
        <v>0</v>
      </c>
      <c r="H232" s="48">
        <v>1</v>
      </c>
      <c r="I232" s="49">
        <f t="shared" si="18"/>
        <v>0</v>
      </c>
    </row>
    <row r="233" spans="1:9" x14ac:dyDescent="0.3">
      <c r="A233" s="52"/>
      <c r="E233" s="49">
        <f t="shared" si="17"/>
        <v>0</v>
      </c>
      <c r="H233" s="48">
        <v>1</v>
      </c>
      <c r="I233" s="49">
        <f t="shared" si="18"/>
        <v>0</v>
      </c>
    </row>
    <row r="234" spans="1:9" x14ac:dyDescent="0.3">
      <c r="A234" s="52"/>
      <c r="E234" s="49">
        <f t="shared" si="17"/>
        <v>0</v>
      </c>
      <c r="H234" s="48">
        <v>1</v>
      </c>
      <c r="I234" s="49">
        <f t="shared" si="18"/>
        <v>0</v>
      </c>
    </row>
    <row r="235" spans="1:9" x14ac:dyDescent="0.3">
      <c r="A235" s="52"/>
      <c r="E235" s="49">
        <f t="shared" si="17"/>
        <v>0</v>
      </c>
      <c r="H235" s="48">
        <v>1</v>
      </c>
      <c r="I235" s="49">
        <f t="shared" si="18"/>
        <v>0</v>
      </c>
    </row>
    <row r="236" spans="1:9" x14ac:dyDescent="0.3">
      <c r="A236" s="52"/>
      <c r="E236" s="49">
        <f t="shared" si="17"/>
        <v>0</v>
      </c>
      <c r="H236" s="48">
        <v>1</v>
      </c>
      <c r="I236" s="49">
        <f t="shared" si="18"/>
        <v>0</v>
      </c>
    </row>
    <row r="237" spans="1:9" x14ac:dyDescent="0.3">
      <c r="A237" s="52"/>
      <c r="E237" s="49">
        <f t="shared" si="17"/>
        <v>0</v>
      </c>
      <c r="H237" s="48">
        <v>1</v>
      </c>
      <c r="I237" s="49">
        <f t="shared" si="18"/>
        <v>0</v>
      </c>
    </row>
    <row r="238" spans="1:9" x14ac:dyDescent="0.3">
      <c r="A238" s="52"/>
      <c r="E238" s="49">
        <f t="shared" si="17"/>
        <v>0</v>
      </c>
      <c r="H238" s="48">
        <v>1</v>
      </c>
      <c r="I238" s="49">
        <f t="shared" si="18"/>
        <v>0</v>
      </c>
    </row>
    <row r="239" spans="1:9" x14ac:dyDescent="0.3">
      <c r="A239" s="52"/>
      <c r="E239" s="49">
        <f t="shared" si="17"/>
        <v>0</v>
      </c>
      <c r="H239" s="48">
        <v>1</v>
      </c>
      <c r="I239" s="49">
        <f t="shared" si="18"/>
        <v>0</v>
      </c>
    </row>
    <row r="240" spans="1:9" x14ac:dyDescent="0.3">
      <c r="A240" s="52"/>
      <c r="E240" s="49">
        <f t="shared" si="17"/>
        <v>0</v>
      </c>
      <c r="H240" s="48">
        <v>1</v>
      </c>
      <c r="I240" s="49">
        <f t="shared" si="18"/>
        <v>0</v>
      </c>
    </row>
    <row r="241" spans="1:9" x14ac:dyDescent="0.3">
      <c r="A241" s="52"/>
      <c r="E241" s="49">
        <f t="shared" si="17"/>
        <v>0</v>
      </c>
      <c r="H241" s="48">
        <v>1</v>
      </c>
      <c r="I241" s="49">
        <f t="shared" si="18"/>
        <v>0</v>
      </c>
    </row>
    <row r="242" spans="1:9" x14ac:dyDescent="0.3">
      <c r="A242" s="52"/>
      <c r="E242" s="49">
        <f t="shared" si="17"/>
        <v>0</v>
      </c>
      <c r="H242" s="48">
        <v>1</v>
      </c>
      <c r="I242" s="49">
        <f t="shared" si="18"/>
        <v>0</v>
      </c>
    </row>
    <row r="243" spans="1:9" x14ac:dyDescent="0.3">
      <c r="A243" s="52"/>
      <c r="E243" s="49">
        <f t="shared" si="17"/>
        <v>0</v>
      </c>
      <c r="H243" s="48">
        <v>1</v>
      </c>
      <c r="I243" s="49">
        <f t="shared" si="18"/>
        <v>0</v>
      </c>
    </row>
    <row r="244" spans="1:9" x14ac:dyDescent="0.3">
      <c r="A244" s="52"/>
      <c r="E244" s="49">
        <f t="shared" si="17"/>
        <v>0</v>
      </c>
      <c r="H244" s="48">
        <v>1</v>
      </c>
      <c r="I244" s="49">
        <f t="shared" si="18"/>
        <v>0</v>
      </c>
    </row>
    <row r="245" spans="1:9" x14ac:dyDescent="0.3">
      <c r="A245" s="52"/>
      <c r="E245" s="49">
        <f t="shared" si="17"/>
        <v>0</v>
      </c>
      <c r="H245" s="48">
        <v>1</v>
      </c>
      <c r="I245" s="49">
        <f t="shared" si="18"/>
        <v>0</v>
      </c>
    </row>
    <row r="246" spans="1:9" x14ac:dyDescent="0.3">
      <c r="A246" s="52"/>
      <c r="E246" s="49">
        <f t="shared" si="17"/>
        <v>0</v>
      </c>
      <c r="H246" s="48">
        <v>1</v>
      </c>
      <c r="I246" s="49">
        <f t="shared" si="18"/>
        <v>0</v>
      </c>
    </row>
    <row r="247" spans="1:9" x14ac:dyDescent="0.3">
      <c r="A247" s="52"/>
      <c r="E247" s="49">
        <f t="shared" si="17"/>
        <v>0</v>
      </c>
      <c r="H247" s="48">
        <v>1</v>
      </c>
      <c r="I247" s="49">
        <f t="shared" si="18"/>
        <v>0</v>
      </c>
    </row>
    <row r="248" spans="1:9" x14ac:dyDescent="0.3">
      <c r="A248" s="52"/>
      <c r="E248" s="49">
        <f t="shared" si="17"/>
        <v>0</v>
      </c>
      <c r="H248" s="48">
        <v>1</v>
      </c>
      <c r="I248" s="49">
        <f t="shared" si="18"/>
        <v>0</v>
      </c>
    </row>
    <row r="249" spans="1:9" x14ac:dyDescent="0.3">
      <c r="A249" s="52"/>
      <c r="E249" s="49">
        <f t="shared" si="17"/>
        <v>0</v>
      </c>
      <c r="H249" s="48">
        <v>1</v>
      </c>
      <c r="I249" s="49">
        <f t="shared" si="18"/>
        <v>0</v>
      </c>
    </row>
    <row r="250" spans="1:9" x14ac:dyDescent="0.3">
      <c r="A250" s="52"/>
      <c r="E250" s="49">
        <f t="shared" si="17"/>
        <v>0</v>
      </c>
      <c r="F250" s="3"/>
      <c r="H250" s="48">
        <v>1</v>
      </c>
      <c r="I250" s="49">
        <f t="shared" si="18"/>
        <v>0</v>
      </c>
    </row>
    <row r="251" spans="1:9" x14ac:dyDescent="0.3">
      <c r="A251" s="52"/>
      <c r="E251" s="49">
        <f t="shared" si="17"/>
        <v>0</v>
      </c>
      <c r="H251" s="48">
        <v>1</v>
      </c>
      <c r="I251" s="49">
        <f t="shared" si="18"/>
        <v>0</v>
      </c>
    </row>
    <row r="252" spans="1:9" x14ac:dyDescent="0.3">
      <c r="A252" s="52"/>
      <c r="E252" s="49">
        <f t="shared" si="17"/>
        <v>0</v>
      </c>
      <c r="H252" s="48">
        <v>1</v>
      </c>
      <c r="I252" s="49">
        <f t="shared" si="18"/>
        <v>0</v>
      </c>
    </row>
    <row r="253" spans="1:9" x14ac:dyDescent="0.3">
      <c r="A253" s="52"/>
      <c r="E253" s="49">
        <f t="shared" si="17"/>
        <v>0</v>
      </c>
      <c r="H253" s="48">
        <v>1</v>
      </c>
      <c r="I253" s="49">
        <f t="shared" si="18"/>
        <v>0</v>
      </c>
    </row>
    <row r="254" spans="1:9" x14ac:dyDescent="0.3">
      <c r="A254" s="52"/>
      <c r="E254" s="49">
        <f t="shared" si="17"/>
        <v>0</v>
      </c>
      <c r="H254" s="48">
        <v>1</v>
      </c>
      <c r="I254" s="49">
        <f t="shared" si="18"/>
        <v>0</v>
      </c>
    </row>
    <row r="255" spans="1:9" x14ac:dyDescent="0.3">
      <c r="A255" s="52"/>
      <c r="E255" s="49">
        <f t="shared" si="17"/>
        <v>0</v>
      </c>
      <c r="H255" s="48">
        <v>1</v>
      </c>
      <c r="I255" s="49">
        <f t="shared" si="18"/>
        <v>0</v>
      </c>
    </row>
    <row r="256" spans="1:9" x14ac:dyDescent="0.3">
      <c r="A256" s="52"/>
      <c r="E256" s="49">
        <f t="shared" si="17"/>
        <v>0</v>
      </c>
      <c r="H256" s="48">
        <v>1</v>
      </c>
      <c r="I256" s="49">
        <f t="shared" si="18"/>
        <v>0</v>
      </c>
    </row>
    <row r="257" spans="1:9" x14ac:dyDescent="0.3">
      <c r="A257" s="52"/>
      <c r="E257" s="49">
        <f t="shared" si="17"/>
        <v>0</v>
      </c>
      <c r="H257" s="48">
        <v>1</v>
      </c>
      <c r="I257" s="49">
        <f t="shared" si="18"/>
        <v>0</v>
      </c>
    </row>
    <row r="258" spans="1:9" x14ac:dyDescent="0.3">
      <c r="A258" s="52"/>
      <c r="E258" s="49">
        <f t="shared" si="17"/>
        <v>0</v>
      </c>
      <c r="H258" s="48">
        <v>1</v>
      </c>
      <c r="I258" s="49">
        <f t="shared" si="18"/>
        <v>0</v>
      </c>
    </row>
    <row r="259" spans="1:9" x14ac:dyDescent="0.3">
      <c r="A259" s="52"/>
      <c r="E259" s="49">
        <f t="shared" si="17"/>
        <v>0</v>
      </c>
      <c r="H259" s="48">
        <v>1</v>
      </c>
      <c r="I259" s="49">
        <f t="shared" si="18"/>
        <v>0</v>
      </c>
    </row>
    <row r="260" spans="1:9" x14ac:dyDescent="0.3">
      <c r="A260" s="52"/>
      <c r="E260" s="49">
        <f t="shared" si="17"/>
        <v>0</v>
      </c>
      <c r="H260" s="48">
        <v>1</v>
      </c>
      <c r="I260" s="49">
        <f t="shared" si="18"/>
        <v>0</v>
      </c>
    </row>
    <row r="261" spans="1:9" x14ac:dyDescent="0.3">
      <c r="A261" s="52"/>
      <c r="E261" s="49">
        <f t="shared" si="17"/>
        <v>0</v>
      </c>
      <c r="H261" s="48">
        <v>1</v>
      </c>
      <c r="I261" s="49">
        <f t="shared" si="18"/>
        <v>0</v>
      </c>
    </row>
    <row r="262" spans="1:9" x14ac:dyDescent="0.3">
      <c r="A262" s="52"/>
      <c r="E262" s="49">
        <f t="shared" si="17"/>
        <v>0</v>
      </c>
      <c r="H262" s="48">
        <v>1</v>
      </c>
      <c r="I262" s="49">
        <f t="shared" si="18"/>
        <v>0</v>
      </c>
    </row>
    <row r="263" spans="1:9" x14ac:dyDescent="0.3">
      <c r="A263" s="52"/>
      <c r="E263" s="49">
        <f t="shared" si="17"/>
        <v>0</v>
      </c>
      <c r="H263" s="48">
        <v>1</v>
      </c>
      <c r="I263" s="49">
        <f t="shared" si="18"/>
        <v>0</v>
      </c>
    </row>
    <row r="264" spans="1:9" x14ac:dyDescent="0.3">
      <c r="A264" s="52"/>
      <c r="E264" s="49">
        <f t="shared" si="17"/>
        <v>0</v>
      </c>
      <c r="H264" s="48">
        <v>1</v>
      </c>
      <c r="I264" s="49">
        <f t="shared" si="18"/>
        <v>0</v>
      </c>
    </row>
    <row r="265" spans="1:9" x14ac:dyDescent="0.3">
      <c r="A265" s="52"/>
      <c r="E265" s="49">
        <f t="shared" si="17"/>
        <v>0</v>
      </c>
      <c r="H265" s="48">
        <v>1</v>
      </c>
      <c r="I265" s="49">
        <f t="shared" si="18"/>
        <v>0</v>
      </c>
    </row>
    <row r="266" spans="1:9" x14ac:dyDescent="0.3">
      <c r="A266" s="52"/>
      <c r="E266" s="49">
        <f t="shared" si="17"/>
        <v>0</v>
      </c>
      <c r="H266" s="48">
        <v>1</v>
      </c>
      <c r="I266" s="49">
        <f t="shared" si="18"/>
        <v>0</v>
      </c>
    </row>
    <row r="267" spans="1:9" x14ac:dyDescent="0.3">
      <c r="A267" s="52"/>
      <c r="E267" s="49">
        <f t="shared" si="17"/>
        <v>0</v>
      </c>
      <c r="H267" s="48">
        <v>1</v>
      </c>
      <c r="I267" s="49">
        <f t="shared" si="18"/>
        <v>0</v>
      </c>
    </row>
    <row r="268" spans="1:9" x14ac:dyDescent="0.3">
      <c r="A268" s="52"/>
      <c r="E268" s="49">
        <f t="shared" si="17"/>
        <v>0</v>
      </c>
      <c r="H268" s="48">
        <v>1</v>
      </c>
      <c r="I268" s="49">
        <f t="shared" si="18"/>
        <v>0</v>
      </c>
    </row>
    <row r="269" spans="1:9" x14ac:dyDescent="0.3">
      <c r="A269" s="52"/>
      <c r="E269" s="49">
        <f t="shared" si="17"/>
        <v>0</v>
      </c>
      <c r="H269" s="48">
        <v>1</v>
      </c>
      <c r="I269" s="49">
        <f t="shared" si="18"/>
        <v>0</v>
      </c>
    </row>
    <row r="270" spans="1:9" x14ac:dyDescent="0.3">
      <c r="A270" s="52"/>
      <c r="E270" s="49">
        <f t="shared" ref="E270:E278" si="19">SUM(I270:I270)</f>
        <v>0</v>
      </c>
      <c r="H270" s="48">
        <v>1</v>
      </c>
      <c r="I270" s="49">
        <f t="shared" si="18"/>
        <v>0</v>
      </c>
    </row>
    <row r="271" spans="1:9" x14ac:dyDescent="0.3">
      <c r="A271" s="52"/>
      <c r="E271" s="49">
        <f t="shared" si="19"/>
        <v>0</v>
      </c>
      <c r="H271" s="48">
        <v>1</v>
      </c>
      <c r="I271" s="49">
        <f t="shared" ref="I271:I278" si="20">G271*H271</f>
        <v>0</v>
      </c>
    </row>
    <row r="272" spans="1:9" x14ac:dyDescent="0.3">
      <c r="A272" s="52"/>
      <c r="E272" s="49">
        <f t="shared" si="19"/>
        <v>0</v>
      </c>
      <c r="H272" s="48">
        <v>1</v>
      </c>
      <c r="I272" s="49">
        <f t="shared" si="20"/>
        <v>0</v>
      </c>
    </row>
    <row r="273" spans="1:9" x14ac:dyDescent="0.3">
      <c r="A273" s="52"/>
      <c r="E273" s="49">
        <f t="shared" si="19"/>
        <v>0</v>
      </c>
      <c r="H273" s="48">
        <v>1</v>
      </c>
      <c r="I273" s="49">
        <f t="shared" si="20"/>
        <v>0</v>
      </c>
    </row>
    <row r="274" spans="1:9" x14ac:dyDescent="0.3">
      <c r="A274" s="52"/>
      <c r="E274" s="49">
        <f t="shared" si="19"/>
        <v>0</v>
      </c>
      <c r="H274" s="48">
        <v>1</v>
      </c>
      <c r="I274" s="49">
        <f t="shared" si="20"/>
        <v>0</v>
      </c>
    </row>
    <row r="275" spans="1:9" x14ac:dyDescent="0.3">
      <c r="A275" s="52"/>
      <c r="E275" s="49">
        <f t="shared" si="19"/>
        <v>0</v>
      </c>
      <c r="H275" s="48">
        <v>1</v>
      </c>
      <c r="I275" s="49">
        <f t="shared" si="20"/>
        <v>0</v>
      </c>
    </row>
    <row r="276" spans="1:9" x14ac:dyDescent="0.3">
      <c r="A276" s="52"/>
      <c r="E276" s="49">
        <f t="shared" si="19"/>
        <v>0</v>
      </c>
      <c r="H276" s="48">
        <v>1</v>
      </c>
      <c r="I276" s="49">
        <f t="shared" si="20"/>
        <v>0</v>
      </c>
    </row>
    <row r="277" spans="1:9" x14ac:dyDescent="0.3">
      <c r="A277" s="52"/>
      <c r="E277" s="49">
        <f t="shared" si="19"/>
        <v>0</v>
      </c>
      <c r="H277" s="48">
        <v>1</v>
      </c>
      <c r="I277" s="49">
        <f t="shared" si="20"/>
        <v>0</v>
      </c>
    </row>
    <row r="278" spans="1:9" x14ac:dyDescent="0.3">
      <c r="A278" s="52"/>
      <c r="E278" s="49">
        <f t="shared" si="19"/>
        <v>0</v>
      </c>
      <c r="H278" s="48">
        <v>1</v>
      </c>
      <c r="I278" s="49">
        <f t="shared" si="20"/>
        <v>0</v>
      </c>
    </row>
    <row r="279" spans="1:9" x14ac:dyDescent="0.3">
      <c r="A279" s="52"/>
      <c r="E279" s="49">
        <f t="shared" ref="E279:E286" si="21">SUM(I279:I279)</f>
        <v>0</v>
      </c>
      <c r="I279" s="49">
        <f t="shared" ref="I279:I280" si="22">G279*H279</f>
        <v>0</v>
      </c>
    </row>
    <row r="280" spans="1:9" x14ac:dyDescent="0.3">
      <c r="A280" s="52"/>
      <c r="E280" s="49">
        <f t="shared" si="21"/>
        <v>0</v>
      </c>
      <c r="I280" s="49">
        <f t="shared" si="22"/>
        <v>0</v>
      </c>
    </row>
    <row r="281" spans="1:9" x14ac:dyDescent="0.3">
      <c r="A281" s="52"/>
      <c r="E281" s="49">
        <f t="shared" si="21"/>
        <v>0</v>
      </c>
      <c r="I281" s="49">
        <f t="shared" ref="I281:I284" si="23">G281*H281</f>
        <v>0</v>
      </c>
    </row>
    <row r="282" spans="1:9" x14ac:dyDescent="0.3">
      <c r="A282" s="52"/>
      <c r="E282" s="49">
        <f t="shared" si="21"/>
        <v>0</v>
      </c>
      <c r="I282" s="49">
        <f t="shared" ref="I282" si="24">G282*H282</f>
        <v>0</v>
      </c>
    </row>
    <row r="283" spans="1:9" x14ac:dyDescent="0.3">
      <c r="A283" s="52"/>
      <c r="E283" s="49">
        <f t="shared" si="21"/>
        <v>0</v>
      </c>
      <c r="I283" s="49">
        <f t="shared" si="23"/>
        <v>0</v>
      </c>
    </row>
    <row r="284" spans="1:9" x14ac:dyDescent="0.3">
      <c r="A284" s="52"/>
      <c r="E284" s="49">
        <f t="shared" si="21"/>
        <v>0</v>
      </c>
      <c r="I284" s="49">
        <f t="shared" si="23"/>
        <v>0</v>
      </c>
    </row>
    <row r="285" spans="1:9" x14ac:dyDescent="0.3">
      <c r="E285" s="49">
        <f t="shared" si="21"/>
        <v>0</v>
      </c>
    </row>
    <row r="286" spans="1:9" x14ac:dyDescent="0.3">
      <c r="E286" s="49">
        <f t="shared" si="21"/>
        <v>0</v>
      </c>
    </row>
  </sheetData>
  <autoFilter ref="A1:K284" xr:uid="{00000000-0001-0000-01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2월(집계)</vt:lpstr>
      <vt:lpstr>2월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이현주</dc:creator>
  <cp:keywords/>
  <dc:description/>
  <cp:lastModifiedBy>현주 이</cp:lastModifiedBy>
  <cp:revision/>
  <dcterms:created xsi:type="dcterms:W3CDTF">2020-01-05T05:25:48Z</dcterms:created>
  <dcterms:modified xsi:type="dcterms:W3CDTF">2026-03-08T11:08:27Z</dcterms:modified>
  <cp:category/>
  <cp:contentStatus/>
</cp:coreProperties>
</file>